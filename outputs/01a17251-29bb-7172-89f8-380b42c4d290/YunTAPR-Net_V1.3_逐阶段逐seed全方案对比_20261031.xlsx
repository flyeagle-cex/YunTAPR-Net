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c009d77c1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对比" sheetId="1" r:id="Rbd23decad18d43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0%"/>
    <x:numFmt numFmtId="202" formatCode="+0.00000000;-0.00000000;0.00000000"/>
    <x:numFmt numFmtId="203" formatCode="#,##0"/>
    <x:numFmt numFmtId="204" formatCode="+0.000%;-0.000%;0.000%"/>
  </x:numFmts>
  <x:fonts count="8">
    <x:font>
      <x:sz val="11"/>
      <x:name val="Carlito"/>
    </x:font>
    <x:font>
      <x:b/>
      <x:sz val="15"/>
      <x:color rgb="FF16324F"/>
      <x:name val="Microsoft YaHei"/>
    </x:font>
    <x:font>
      <x:sz val="10"/>
      <x:name val="Microsoft YaHei"/>
    </x:font>
    <x:font>
      <x:b/>
      <x:sz val="10"/>
      <x:name val="Microsoft YaHei"/>
    </x:font>
    <x:font>
      <x:sz val="10"/>
      <x:color rgb="FF111827"/>
      <x:name val="Microsoft YaHei"/>
    </x:font>
    <x:font>
      <x:b/>
      <x:sz val="10"/>
      <x:color rgb="FFFFFFFF"/>
      <x:name val="Microsoft YaHei"/>
    </x:font>
    <x:font>
      <x:b/>
      <x:sz val="11"/>
      <x:color rgb="FF16324F"/>
      <x:name val="Microsoft YaHei"/>
    </x:font>
    <x:font>
      <x:sz val="10"/>
      <x:color rgb="FF16324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F1F3F5"/>
      </x:patternFill>
    </x:fill>
    <x:fill>
      <x:patternFill patternType="solid">
        <x:fgColor rgb="FFE9EFF5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 style="medium">
        <x:color rgb="FF91A7BB"/>
      </x:top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right" vertical="center"/>
    </x:xf>
    <x:xf numFmtId="202" fontId="4" fillId="0" borderId="1" xfId="0" applyNumberFormat="1" applyFont="1" applyFill="1" applyBorder="1" applyAlignment="1">
      <x:alignment horizontal="right" vertical="center"/>
    </x:xf>
    <x:xf numFmtId="203" fontId="4" fillId="0" borderId="1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horizontal="right" vertical="center"/>
    </x:xf>
    <x:xf numFmtId="200" fontId="4" fillId="4" borderId="1" xfId="0" applyNumberFormat="1" applyFont="1" applyFill="1" applyBorder="1" applyAlignment="1">
      <x:alignment horizontal="right" vertical="center"/>
    </x:xf>
    <x:xf numFmtId="204" fontId="4" fillId="0" borderId="1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color rgb="FF17623C"/>
      </x:font>
      <x:fill>
        <x:patternFill patternType="solid">
          <x:bgColor rgb="FFE6F2E9"/>
        </x:patternFill>
      </x:fill>
    </x:dxf>
    <x:dxf>
      <x:font>
        <x:color rgb="FFA52A2A"/>
      </x:font>
      <x:fill>
        <x:patternFill patternType="solid">
          <x:bgColor rgb="FFFBEAEA"/>
        </x:patternFill>
      </x:fill>
    </x:dxf>
    <x:dxf>
      <x:font>
        <x:color rgb="FF17623C"/>
      </x:font>
      <x:fill>
        <x:patternFill patternType="solid">
          <x:bgColor rgb="FFE6F2E9"/>
        </x:patternFill>
      </x:fill>
    </x:dxf>
    <x:dxf>
      <x:font>
        <x:color rgb="FFA52A2A"/>
      </x:font>
      <x:fill>
        <x:patternFill patternType="solid">
          <x:bgColor rgb="FFFBEAEA"/>
        </x:patternFill>
      </x:fill>
    </x:dxf>
    <x:dxf>
      <x:font>
        <x:color rgb="FF17623C"/>
      </x:font>
      <x:fill>
        <x:patternFill patternType="solid">
          <x:bgColor rgb="FFE6F2E9"/>
        </x:patternFill>
      </x:fill>
    </x:dxf>
    <x:dxf>
      <x:font>
        <x:color rgb="FFA52A2A"/>
      </x:font>
      <x:fill>
        <x:patternFill patternType="solid">
          <x:bgColor rgb="FFFBEAEA"/>
        </x:patternFill>
      </x:fill>
    </x:dxf>
    <x:dxf>
      <x:font>
        <x:color rgb="FF17623C"/>
      </x:font>
      <x:fill>
        <x:patternFill patternType="solid">
          <x:bgColor rgb="FFE6F2E9"/>
        </x:patternFill>
      </x:fill>
    </x:dxf>
    <x:dxf>
      <x:font>
        <x:color rgb="FFA52A2A"/>
      </x:font>
      <x:fill>
        <x:patternFill patternType="solid">
          <x:bgColor rgb="FFFBEAEA"/>
        </x:patternFill>
      </x:fill>
    </x:dxf>
    <x:dxf>
      <x:font>
        <x:color rgb="FF17623C"/>
      </x:font>
      <x:fill>
        <x:patternFill patternType="solid">
          <x:bgColor rgb="FFE6F2E9"/>
        </x:patternFill>
      </x:fill>
    </x:dxf>
    <x:dxf>
      <x:font>
        <x:color rgb="FFA52A2A"/>
      </x:font>
      <x:fill>
        <x:patternFill patternType="solid">
          <x:bgColor rgb="FFFB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a73c807604bfb" /><Relationship Type="http://schemas.openxmlformats.org/officeDocument/2006/relationships/theme" Target="/xl/theme/theme1.xml" Id="Rce0cc850304a4669" /><Relationship Type="http://schemas.openxmlformats.org/officeDocument/2006/relationships/sharedStrings" Target="/xl/sharedStrings.xml" Id="R49b7d020db8f4ceb" /><Relationship Type="http://schemas.openxmlformats.org/officeDocument/2006/relationships/worksheet" Target="/xl/worksheets/sheet1.xml" Id="Rbd23decad18d4384" /></Relationships>
</file>

<file path=xl/tables/table1.xml><?xml version="1.0" encoding="utf-8"?>
<x:table xmlns:x="http://schemas.openxmlformats.org/spreadsheetml/2006/main" id="1" name="StageSeedLossMetrics" displayName="StageSeedLossMetrics" ref="A6:AN37" headerRowCount="1" totalsRowCount="0" totalsRowShown="0">
  <x:tableColumns count="40">
    <x:tableColumn id="1" name="模型"/>
    <x:tableColumn id="2" name="seed"/>
    <x:tableColumn id="3" name="损失方案"/>
    <x:tableColumn id="4" name="Brier↓"/>
    <x:tableColumn id="5" name="AUROC↑"/>
    <x:tableColumn id="6" name="AP↑"/>
    <x:tableColumn id="7" name="条件Pinball↓"/>
    <x:tableColumn id="8" name="q32覆盖率"/>
    <x:tableColumn id="9" name="q32偏差"/>
    <x:tableColumn id="10" name="q32绝对误差↓"/>
    <x:tableColumn id="11" name="配对方向"/>
    <x:tableColumn id="12" name="ΔBrier"/>
    <x:tableColumn id="13" name="ΔAUROC"/>
    <x:tableColumn id="14" name="ΔAP"/>
    <x:tableColumn id="15" name="ΔPinball"/>
    <x:tableColumn id="16" name="Δq32绝对误差"/>
    <x:tableColumn id="17" name="配对说明"/>
    <x:tableColumn id="18" name="MAE_A(mm/h)"/>
    <x:tableColumn id="19" name="RMSE_A(mm/h)"/>
    <x:tableColumn id="20" name="Bias_A(mm/h)"/>
    <x:tableColumn id="21" name="CC_A"/>
    <x:tableColumn id="22" name="POD"/>
    <x:tableColumn id="23" name="FAR"/>
    <x:tableColumn id="24" name="CSI"/>
    <x:tableColumn id="25" name="HSS"/>
    <x:tableColumn id="26" name="点估计状态"/>
    <x:tableColumn id="27" name="Train/Dev场景"/>
    <x:tableColumn id="28" name="监督像元时次N"/>
    <x:tableColumn id="29" name="有雨像元时次N"/>
    <x:tableColumn id="30" name="权重终点"/>
    <x:tableColumn id="31" name="来源ID"/>
    <x:tableColumn id="32" name="E9权重SHA256"/>
    <x:tableColumn id="33" name="MAE_B(mm/h)"/>
    <x:tableColumn id="34" name="RMSE_B(mm/h)"/>
    <x:tableColumn id="35" name="Bias_B(mm/h)"/>
    <x:tableColumn id="36" name="CC_B"/>
    <x:tableColumn id="37" name="MAE_C(mm/h)"/>
    <x:tableColumn id="38" name="RMSE_C(mm/h)"/>
    <x:tableColumn id="39" name="Bias_C(mm/h)"/>
    <x:tableColumn id="40" name="CC_C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081dc2ff694d5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6" hidden="0" customWidth="1"/>
    <x:col min="2" max="2" width="9" hidden="0" customWidth="1"/>
    <x:col min="3" max="3" width="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7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4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23" hidden="0" customWidth="1"/>
    <x:col min="27" max="27" width="20" hidden="0" customWidth="1"/>
    <x:col min="28" max="28" width="15" hidden="0" customWidth="1"/>
    <x:col min="29" max="29" width="15" hidden="0" customWidth="1"/>
    <x:col min="30" max="30" width="15" hidden="0" customWidth="1"/>
    <x:col min="31" max="31" width="52" hidden="0" customWidth="1"/>
    <x:col min="32" max="32" width="70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</x:cols>
  <x:sheetData>
    <x:row r="2" ht="30" customHeight="1">
      <x:c r="A2" s="1" t="str">
        <x:v>YunTAPR-Net V1.3 阶段增量对比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2" t="str">
        <x:v>每个模型 × seed × 损失方案一行，共31行。固定E9 LAST，2024 Development；2025最终测试冻结。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2" t="str">
        <x:v>Δ按“配对方向”列计算；绿为改善、红为退化。B0/B1与B2–B8人口不同，不作直接增量归因。空白表示未补算或不能配对。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4" customHeight="1">
      <x:c r="A5" s="5" t="str">
        <x:v>实验身份</x:v>
      </x:c>
      <x:c r="B5" s="5" t="str">
        <x:v>实验身份</x:v>
      </x:c>
      <x:c r="C5" s="5" t="str">
        <x:v>实验身份</x:v>
      </x:c>
      <x:c r="D5" s="5" t="str">
        <x:v>概率预测与分位数覆盖</x:v>
      </x:c>
      <x:c r="E5" s="5" t="str">
        <x:v>概率预测与分位数覆盖</x:v>
      </x:c>
      <x:c r="F5" s="5" t="str">
        <x:v>概率预测与分位数覆盖</x:v>
      </x:c>
      <x:c r="G5" s="5" t="str">
        <x:v>概率预测与分位数覆盖</x:v>
      </x:c>
      <x:c r="H5" s="5" t="str">
        <x:v>概率预测与分位数覆盖</x:v>
      </x:c>
      <x:c r="I5" s="5" t="str">
        <x:v>概率预测与分位数覆盖</x:v>
      </x:c>
      <x:c r="J5" s="5" t="str">
        <x:v>概率预测与分位数覆盖</x:v>
      </x:c>
      <x:c r="K5" s="5" t="str">
        <x:v>同seed、同损失、同人口的增量</x:v>
      </x:c>
      <x:c r="L5" s="5" t="str">
        <x:v>同seed、同损失、同人口的增量</x:v>
      </x:c>
      <x:c r="M5" s="5" t="str">
        <x:v>同seed、同损失、同人口的增量</x:v>
      </x:c>
      <x:c r="N5" s="5" t="str">
        <x:v>同seed、同损失、同人口的增量</x:v>
      </x:c>
      <x:c r="O5" s="5" t="str">
        <x:v>同seed、同损失、同人口的增量</x:v>
      </x:c>
      <x:c r="P5" s="5" t="str">
        <x:v>同seed、同损失、同人口的增量</x:v>
      </x:c>
      <x:c r="Q5" s="5" t="str">
        <x:v>同seed、同损失、同人口的增量</x:v>
      </x:c>
      <x:c r="R5" s="5" t="str">
        <x:v>点估计A连续误差</x:v>
      </x:c>
      <x:c r="S5" s="5" t="str">
        <x:v>点估计A连续误差</x:v>
      </x:c>
      <x:c r="T5" s="5" t="str">
        <x:v>点估计A连续误差</x:v>
      </x:c>
      <x:c r="U5" s="5" t="str">
        <x:v>点估计A连续误差</x:v>
      </x:c>
      <x:c r="V5" s="5" t="str">
        <x:v>发生概率分类</x:v>
      </x:c>
      <x:c r="W5" s="5" t="str">
        <x:v>发生概率分类</x:v>
      </x:c>
      <x:c r="X5" s="5" t="str">
        <x:v>发生概率分类</x:v>
      </x:c>
      <x:c r="Y5" s="5" t="str">
        <x:v>发生概率分类</x:v>
      </x:c>
      <x:c r="Z5" s="5" t="str">
        <x:v>范围与证据</x:v>
      </x:c>
      <x:c r="AA5" s="5" t="str">
        <x:v>范围与证据</x:v>
      </x:c>
      <x:c r="AB5" s="5" t="str">
        <x:v>范围与证据</x:v>
      </x:c>
      <x:c r="AC5" s="5" t="str">
        <x:v>范围与证据</x:v>
      </x:c>
      <x:c r="AD5" s="5" t="str">
        <x:v>范围与证据</x:v>
      </x:c>
      <x:c r="AE5" s="5" t="str">
        <x:v>范围与证据</x:v>
      </x:c>
      <x:c r="AF5" s="5" t="str">
        <x:v>范围与证据</x:v>
      </x:c>
      <x:c r="AG5" s="5" t="str">
        <x:v>点估计B连续误差</x:v>
      </x:c>
      <x:c r="AH5" s="5" t="str">
        <x:v>点估计B连续误差</x:v>
      </x:c>
      <x:c r="AI5" s="5" t="str">
        <x:v>点估计B连续误差</x:v>
      </x:c>
      <x:c r="AJ5" s="5" t="str">
        <x:v>点估计B连续误差</x:v>
      </x:c>
      <x:c r="AK5" s="5" t="str">
        <x:v>点估计C连续误差</x:v>
      </x:c>
      <x:c r="AL5" s="5" t="str">
        <x:v>点估计C连续误差</x:v>
      </x:c>
      <x:c r="AM5" s="5" t="str">
        <x:v>点估计C连续误差</x:v>
      </x:c>
      <x:c r="AN5" s="5" t="str">
        <x:v>点估计C连续误差</x:v>
      </x:c>
    </x:row>
    <x:row r="6" ht="44" customHeight="1">
      <x:c r="A6" s="11" t="str">
        <x:v>模型</x:v>
      </x:c>
      <x:c r="B6" s="11" t="str">
        <x:v>seed</x:v>
      </x:c>
      <x:c r="C6" s="11" t="str">
        <x:v>损失方案</x:v>
      </x:c>
      <x:c r="D6" s="11" t="str">
        <x:v>Brier↓</x:v>
      </x:c>
      <x:c r="E6" s="11" t="str">
        <x:v>AUROC↑</x:v>
      </x:c>
      <x:c r="F6" s="11" t="str">
        <x:v>AP↑</x:v>
      </x:c>
      <x:c r="G6" s="11" t="str">
        <x:v>条件Pinball↓</x:v>
      </x:c>
      <x:c r="H6" s="11" t="str">
        <x:v>q32覆盖率</x:v>
      </x:c>
      <x:c r="I6" s="11" t="str">
        <x:v>q32偏差</x:v>
      </x:c>
      <x:c r="J6" s="11" t="str">
        <x:v>q32绝对误差↓</x:v>
      </x:c>
      <x:c r="K6" s="11" t="str">
        <x:v>配对方向</x:v>
      </x:c>
      <x:c r="L6" s="11" t="str">
        <x:v>ΔBrier</x:v>
      </x:c>
      <x:c r="M6" s="11" t="str">
        <x:v>ΔAUROC</x:v>
      </x:c>
      <x:c r="N6" s="11" t="str">
        <x:v>ΔAP</x:v>
      </x:c>
      <x:c r="O6" s="11" t="str">
        <x:v>ΔPinball</x:v>
      </x:c>
      <x:c r="P6" s="11" t="str">
        <x:v>Δq32绝对误差</x:v>
      </x:c>
      <x:c r="Q6" s="11" t="str">
        <x:v>配对说明</x:v>
      </x:c>
      <x:c r="R6" s="11" t="str">
        <x:v>MAE_A(mm/h)</x:v>
      </x:c>
      <x:c r="S6" s="11" t="str">
        <x:v>RMSE_A(mm/h)</x:v>
      </x:c>
      <x:c r="T6" s="11" t="str">
        <x:v>Bias_A(mm/h)</x:v>
      </x:c>
      <x:c r="U6" s="11" t="str">
        <x:v>CC_A</x:v>
      </x:c>
      <x:c r="V6" s="11" t="str">
        <x:v>POD</x:v>
      </x:c>
      <x:c r="W6" s="11" t="str">
        <x:v>FAR</x:v>
      </x:c>
      <x:c r="X6" s="11" t="str">
        <x:v>CSI</x:v>
      </x:c>
      <x:c r="Y6" s="11" t="str">
        <x:v>HSS</x:v>
      </x:c>
      <x:c r="Z6" s="11" t="str">
        <x:v>点估计状态</x:v>
      </x:c>
      <x:c r="AA6" s="11" t="str">
        <x:v>Train/Dev场景</x:v>
      </x:c>
      <x:c r="AB6" s="11" t="str">
        <x:v>监督像元时次N</x:v>
      </x:c>
      <x:c r="AC6" s="11" t="str">
        <x:v>有雨像元时次N</x:v>
      </x:c>
      <x:c r="AD6" s="11" t="str">
        <x:v>权重终点</x:v>
      </x:c>
      <x:c r="AE6" s="11" t="str">
        <x:v>来源ID</x:v>
      </x:c>
      <x:c r="AF6" s="11" t="str">
        <x:v>E9权重SHA256</x:v>
      </x:c>
      <x:c r="AG6" s="11" t="str">
        <x:v>MAE_B(mm/h)</x:v>
      </x:c>
      <x:c r="AH6" s="11" t="str">
        <x:v>RMSE_B(mm/h)</x:v>
      </x:c>
      <x:c r="AI6" s="11" t="str">
        <x:v>Bias_B(mm/h)</x:v>
      </x:c>
      <x:c r="AJ6" s="11" t="str">
        <x:v>CC_B</x:v>
      </x:c>
      <x:c r="AK6" s="11" t="str">
        <x:v>MAE_C(mm/h)</x:v>
      </x:c>
      <x:c r="AL6" s="11" t="str">
        <x:v>RMSE_C(mm/h)</x:v>
      </x:c>
      <x:c r="AM6" s="11" t="str">
        <x:v>Bias_C(mm/h)</x:v>
      </x:c>
      <x:c r="AN6" s="11" t="str">
        <x:v>CC_C</x:v>
      </x:c>
    </x:row>
    <x:row r="7" ht="25" customHeight="1">
      <x:c r="A7" s="19" t="str">
        <x:v>B0</x:v>
      </x:c>
      <x:c r="B7" s="19" t="n">
        <x:v>2026</x:v>
      </x:c>
      <x:c r="C7" s="19" t="str">
        <x:v>E0</x:v>
      </x:c>
      <x:c r="D7" s="20" t="n">
        <x:v>0.09686762633953126</x:v>
      </x:c>
      <x:c r="E7" s="20" t="n">
        <x:v>0.8863570372722712</x:v>
      </x:c>
      <x:c r="F7" s="20" t="n">
        <x:v>0.5672326912158884</x:v>
      </x:c>
      <x:c r="G7" s="20" t="n">
        <x:v>0.12488545829163124</x:v>
      </x:c>
      <x:c r="H7" s="21" t="n">
        <x:v>0.9574418449495175</x:v>
      </x:c>
      <x:c r="I7" s="21" t="n">
        <x:v>-0.02693315505048255</x:v>
      </x:c>
      <x:c r="J7" s="21" t="n">
        <x:v>0.02693315505048255</x:v>
      </x:c>
      <x:c r="K7" s="20"/>
      <x:c r="L7" s="22"/>
      <x:c r="M7" s="22"/>
      <x:c r="N7" s="22"/>
      <x:c r="O7" s="22"/>
      <x:c r="P7" s="26"/>
      <x:c r="Q7" s="20" t="str">
        <x:v>同人口基准</x:v>
      </x:c>
      <x:c r="R7" s="20" t="n">
        <x:v>0.25311146097739234</x:v>
      </x:c>
      <x:c r="S7" s="20" t="n">
        <x:v>0.8012766752218964</x:v>
      </x:c>
      <x:c r="T7" s="20" t="n">
        <x:v>0.02823208805991552</x:v>
      </x:c>
      <x:c r="U7" s="20" t="n">
        <x:v>0.5390294868298127</x:v>
      </x:c>
      <x:c r="V7" s="21" t="n">
        <x:v>0.3740419428012276</x:v>
      </x:c>
      <x:c r="W7" s="21" t="n">
        <x:v>0.3499948213441008</x:v>
      </x:c>
      <x:c r="X7" s="21" t="n">
        <x:v>0.3113377131320102</x:v>
      </x:c>
      <x:c r="Y7" s="21" t="n">
        <x:v>0.42213960687642665</x:v>
      </x:c>
      <x:c r="Z7" s="19" t="str">
        <x:v>A/B/C已计算</x:v>
      </x:c>
      <x:c r="AA7" s="19" t="str">
        <x:v>10455/10501</x:v>
      </x:c>
      <x:c r="AB7" s="23" t="n">
        <x:v>36018430</x:v>
      </x:c>
      <x:c r="AC7" s="23" t="n">
        <x:v>4496600</x:v>
      </x:c>
      <x:c r="AD7" s="19" t="str">
        <x:v>E9 LAST</x:v>
      </x:c>
      <x:c r="AE7" s="19" t="str">
        <x:v>TIER0_B0_s2026_E0；TIER1_B0_s2026_E0</x:v>
      </x:c>
      <x:c r="AF7" s="19" t="str">
        <x:v>a806db984338abe444816e50321b56169090a5f96d07bfe2f9e6bd369009ce94</x:v>
      </x:c>
      <x:c r="AG7" s="20" t="n">
        <x:v>0.16907408958171422</x:v>
      </x:c>
      <x:c r="AH7" s="20" t="n">
        <x:v>0.8654556794576975</x:v>
      </x:c>
      <x:c r="AI7" s="20" t="n">
        <x:v>-0.1475042603048781</x:v>
      </x:c>
      <x:c r="AJ7" s="20" t="n">
        <x:v>0.5011006981067568</x:v>
      </x:c>
      <x:c r="AK7" s="20" t="n">
        <x:v>0.24005493996922858</x:v>
      </x:c>
      <x:c r="AL7" s="20" t="n">
        <x:v>0.8193522455235559</x:v>
      </x:c>
      <x:c r="AM7" s="20" t="n">
        <x:v>-0.00664411514026242</x:v>
      </x:c>
      <x:c r="AN7" s="20" t="n">
        <x:v>0.5372458038222474</x:v>
      </x:c>
    </x:row>
    <x:row r="8" ht="25" customHeight="1">
      <x:c r="A8" s="7" t="str">
        <x:v>B0</x:v>
      </x:c>
      <x:c r="B8" s="7" t="n">
        <x:v>2027</x:v>
      </x:c>
      <x:c r="C8" s="7" t="str">
        <x:v>E0</x:v>
      </x:c>
      <x:c r="D8" s="16" t="n">
        <x:v>0.09705489099741127</x:v>
      </x:c>
      <x:c r="E8" s="16" t="n">
        <x:v>0.8856824184138391</x:v>
      </x:c>
      <x:c r="F8" s="16" t="n">
        <x:v>0.5622563003246116</x:v>
      </x:c>
      <x:c r="G8" s="16" t="n">
        <x:v>0.12518697518141356</x:v>
      </x:c>
      <x:c r="H8" s="17" t="n">
        <x:v>0.9610948272027754</x:v>
      </x:c>
      <x:c r="I8" s="17" t="n">
        <x:v>-0.023280172797224608</x:v>
      </x:c>
      <x:c r="J8" s="17" t="n">
        <x:v>0.023280172797224608</x:v>
      </x:c>
      <x:c r="K8" s="16"/>
      <x:c r="L8" s="18"/>
      <x:c r="M8" s="18"/>
      <x:c r="N8" s="18"/>
      <x:c r="O8" s="18"/>
      <x:c r="P8" s="27"/>
      <x:c r="Q8" s="16" t="str">
        <x:v>同人口基准</x:v>
      </x:c>
      <x:c r="R8" s="16" t="n">
        <x:v>0.2594571589077351</x:v>
      </x:c>
      <x:c r="S8" s="16" t="n">
        <x:v>0.7971315608632401</x:v>
      </x:c>
      <x:c r="T8" s="16" t="n">
        <x:v>0.04248426538593627</x:v>
      </x:c>
      <x:c r="U8" s="16" t="n">
        <x:v>0.5332097183665948</x:v>
      </x:c>
      <x:c r="V8" s="17" t="n">
        <x:v>0.3774431792910199</x:v>
      </x:c>
      <x:c r="W8" s="17" t="n">
        <x:v>0.3583922408758048</x:v>
      </x:c>
      <x:c r="X8" s="17" t="n">
        <x:v>0.3117216651397816</x:v>
      </x:c>
      <x:c r="Y8" s="17" t="n">
        <x:v>0.42181618300789986</x:v>
      </x:c>
      <x:c r="Z8" s="7" t="str">
        <x:v>A/B/C已计算</x:v>
      </x:c>
      <x:c r="AA8" s="7" t="str">
        <x:v>10455/10501</x:v>
      </x:c>
      <x:c r="AB8" s="15" t="n">
        <x:v>36018430</x:v>
      </x:c>
      <x:c r="AC8" s="15" t="n">
        <x:v>4496600</x:v>
      </x:c>
      <x:c r="AD8" s="7" t="str">
        <x:v>E9 LAST</x:v>
      </x:c>
      <x:c r="AE8" s="7" t="str">
        <x:v>TIER0_B0_s2027_E0；TIER1_B0_s2027_E0</x:v>
      </x:c>
      <x:c r="AF8" s="7" t="str">
        <x:v>34022dd6970a95a1fc8ef7a910d5b4a80a1f029ad3617dee577d6dff2b1f4673</x:v>
      </x:c>
      <x:c r="AG8" s="16" t="n">
        <x:v>0.16855334816886966</x:v>
      </x:c>
      <x:c r="AH8" s="16" t="n">
        <x:v>0.852532618651837</x:v>
      </x:c>
      <x:c r="AI8" s="16" t="n">
        <x:v>-0.14025503633896538</x:v>
      </x:c>
      <x:c r="AJ8" s="16" t="n">
        <x:v>0.4768236080377959</x:v>
      </x:c>
      <x:c r="AK8" s="16" t="n">
        <x:v>0.24350595156919913</x:v>
      </x:c>
      <x:c r="AL8" s="16" t="n">
        <x:v>0.8107691822137726</x:v>
      </x:c>
      <x:c r="AM8" s="16" t="n">
        <x:v>0.003663007529604952</x:v>
      </x:c>
      <x:c r="AN8" s="16" t="n">
        <x:v>0.53285679203632</x:v>
      </x:c>
    </x:row>
    <x:row r="9" ht="25" customHeight="1">
      <x:c r="A9" s="7" t="str">
        <x:v>B0</x:v>
      </x:c>
      <x:c r="B9" s="7" t="n">
        <x:v>2026</x:v>
      </x:c>
      <x:c r="C9" s="7" t="str">
        <x:v>E1</x:v>
      </x:c>
      <x:c r="D9" s="16" t="n">
        <x:v>0.07542767621029653</x:v>
      </x:c>
      <x:c r="E9" s="16" t="n">
        <x:v>0.8852148784017654</x:v>
      </x:c>
      <x:c r="F9" s="16" t="n">
        <x:v>0.566024651366902</x:v>
      </x:c>
      <x:c r="G9" s="16" t="n">
        <x:v>0.12630796042083833</x:v>
      </x:c>
      <x:c r="H9" s="17" t="n">
        <x:v>0.9574267224124894</x:v>
      </x:c>
      <x:c r="I9" s="17" t="n">
        <x:v>-0.026948277587510616</x:v>
      </x:c>
      <x:c r="J9" s="17" t="n">
        <x:v>0.026948277587510616</x:v>
      </x:c>
      <x:c r="K9" s="16"/>
      <x:c r="L9" s="18"/>
      <x:c r="M9" s="18"/>
      <x:c r="N9" s="18"/>
      <x:c r="O9" s="18"/>
      <x:c r="P9" s="27"/>
      <x:c r="Q9" s="16" t="str">
        <x:v>同人口基准</x:v>
      </x:c>
      <x:c r="R9" s="24"/>
      <x:c r="S9" s="24"/>
      <x:c r="T9" s="24"/>
      <x:c r="U9" s="24"/>
      <x:c r="V9" s="17" t="n">
        <x:v>0.3789029488947205</x:v>
      </x:c>
      <x:c r="W9" s="17" t="n">
        <x:v>0.35279103937859735</x:v>
      </x:c>
      <x:c r="X9" s="17" t="n">
        <x:v>0.3140413258496594</x:v>
      </x:c>
      <x:c r="Y9" s="17" t="n">
        <x:v>0.4249601816802938</x:v>
      </x:c>
      <x:c r="Z9" s="7" t="str">
        <x:v>A/B/C未补算</x:v>
      </x:c>
      <x:c r="AA9" s="7" t="str">
        <x:v>10455/10501</x:v>
      </x:c>
      <x:c r="AB9" s="15" t="n">
        <x:v>36018430</x:v>
      </x:c>
      <x:c r="AC9" s="15" t="n">
        <x:v>4496600</x:v>
      </x:c>
      <x:c r="AD9" s="7" t="str">
        <x:v>E9 LAST</x:v>
      </x:c>
      <x:c r="AE9" s="7" t="str">
        <x:v>TIER0_B0_s2026_E1</x:v>
      </x:c>
      <x:c r="AF9" s="7" t="str">
        <x:v>d36f6d541245b15b20e90cc93b95f15898d46f8c32568355af850d5389182cda</x:v>
      </x:c>
      <x:c r="AG9" s="24"/>
      <x:c r="AH9" s="24"/>
      <x:c r="AI9" s="24"/>
      <x:c r="AJ9" s="24"/>
      <x:c r="AK9" s="24"/>
      <x:c r="AL9" s="24"/>
      <x:c r="AM9" s="24"/>
      <x:c r="AN9" s="24"/>
    </x:row>
    <x:row r="10" ht="25" customHeight="1">
      <x:c r="A10" s="7" t="str">
        <x:v>B0</x:v>
      </x:c>
      <x:c r="B10" s="7" t="n">
        <x:v>2027</x:v>
      </x:c>
      <x:c r="C10" s="7" t="str">
        <x:v>E1</x:v>
      </x:c>
      <x:c r="D10" s="16" t="n">
        <x:v>0.07639663131119323</x:v>
      </x:c>
      <x:c r="E10" s="16" t="n">
        <x:v>0.8835449104706256</x:v>
      </x:c>
      <x:c r="F10" s="16" t="n">
        <x:v>0.5572901623524731</x:v>
      </x:c>
      <x:c r="G10" s="16" t="n">
        <x:v>0.12626066162093558</x:v>
      </x:c>
      <x:c r="H10" s="17" t="n">
        <x:v>0.9653515989859005</x:v>
      </x:c>
      <x:c r="I10" s="17" t="n">
        <x:v>-0.019023401014099495</x:v>
      </x:c>
      <x:c r="J10" s="17" t="n">
        <x:v>0.019023401014099495</x:v>
      </x:c>
      <x:c r="K10" s="16"/>
      <x:c r="L10" s="18"/>
      <x:c r="M10" s="18"/>
      <x:c r="N10" s="18"/>
      <x:c r="O10" s="18"/>
      <x:c r="P10" s="27"/>
      <x:c r="Q10" s="16" t="str">
        <x:v>同人口基准</x:v>
      </x:c>
      <x:c r="R10" s="24"/>
      <x:c r="S10" s="24"/>
      <x:c r="T10" s="24"/>
      <x:c r="U10" s="24"/>
      <x:c r="V10" s="17" t="n">
        <x:v>0.37665569541431304</x:v>
      </x:c>
      <x:c r="W10" s="17" t="n">
        <x:v>0.36849872519271254</x:v>
      </x:c>
      <x:c r="X10" s="17" t="n">
        <x:v>0.30878753757586275</x:v>
      </x:c>
      <x:c r="Y10" s="17" t="n">
        <x:v>0.4175334426508483</x:v>
      </x:c>
      <x:c r="Z10" s="7" t="str">
        <x:v>A/B/C未补算</x:v>
      </x:c>
      <x:c r="AA10" s="7" t="str">
        <x:v>10455/10501</x:v>
      </x:c>
      <x:c r="AB10" s="15" t="n">
        <x:v>36018430</x:v>
      </x:c>
      <x:c r="AC10" s="15" t="n">
        <x:v>4496600</x:v>
      </x:c>
      <x:c r="AD10" s="7" t="str">
        <x:v>E9 LAST</x:v>
      </x:c>
      <x:c r="AE10" s="7" t="str">
        <x:v>TIER0_B0_s2027_E1</x:v>
      </x:c>
      <x:c r="AF10" s="7" t="str">
        <x:v>bfe0e2edfcd5c6544f682148cafff36f2e458855452143fe6f74b141416f847a</x:v>
      </x:c>
      <x:c r="AG10" s="24"/>
      <x:c r="AH10" s="24"/>
      <x:c r="AI10" s="24"/>
      <x:c r="AJ10" s="24"/>
      <x:c r="AK10" s="24"/>
      <x:c r="AL10" s="24"/>
      <x:c r="AM10" s="24"/>
      <x:c r="AN10" s="24"/>
    </x:row>
    <x:row r="11" ht="25" customHeight="1">
      <x:c r="A11" s="7" t="str">
        <x:v>B0</x:v>
      </x:c>
      <x:c r="B11" s="7" t="n">
        <x:v>2026</x:v>
      </x:c>
      <x:c r="C11" s="7" t="str">
        <x:v>E2</x:v>
      </x:c>
      <x:c r="D11" s="16" t="n">
        <x:v>0.09750289889336537</x:v>
      </x:c>
      <x:c r="E11" s="16" t="n">
        <x:v>0.8862217237110898</x:v>
      </x:c>
      <x:c r="F11" s="16" t="n">
        <x:v>0.5655408799445747</x:v>
      </x:c>
      <x:c r="G11" s="16" t="n">
        <x:v>0.12536757307770358</x:v>
      </x:c>
      <x:c r="H11" s="17" t="n">
        <x:v>0.9607634657296624</x:v>
      </x:c>
      <x:c r="I11" s="17" t="n">
        <x:v>-0.023611534270337575</x:v>
      </x:c>
      <x:c r="J11" s="17" t="n">
        <x:v>0.023611534270337575</x:v>
      </x:c>
      <x:c r="K11" s="16"/>
      <x:c r="L11" s="18"/>
      <x:c r="M11" s="18"/>
      <x:c r="N11" s="18"/>
      <x:c r="O11" s="18"/>
      <x:c r="P11" s="27"/>
      <x:c r="Q11" s="16" t="str">
        <x:v>同人口基准</x:v>
      </x:c>
      <x:c r="R11" s="24"/>
      <x:c r="S11" s="24"/>
      <x:c r="T11" s="24"/>
      <x:c r="U11" s="24"/>
      <x:c r="V11" s="17" t="n">
        <x:v>0.3672950673842459</x:v>
      </x:c>
      <x:c r="W11" s="17" t="n">
        <x:v>0.34946803880396077</x:v>
      </x:c>
      <x:c r="X11" s="17" t="n">
        <x:v>0.30676633046264057</x:v>
      </x:c>
      <x:c r="Y11" s="17" t="n">
        <x:v>0.4169730625929393</x:v>
      </x:c>
      <x:c r="Z11" s="7" t="str">
        <x:v>A/B/C未补算</x:v>
      </x:c>
      <x:c r="AA11" s="7" t="str">
        <x:v>10455/10501</x:v>
      </x:c>
      <x:c r="AB11" s="15" t="n">
        <x:v>36018430</x:v>
      </x:c>
      <x:c r="AC11" s="15" t="n">
        <x:v>4496600</x:v>
      </x:c>
      <x:c r="AD11" s="7" t="str">
        <x:v>E9 LAST</x:v>
      </x:c>
      <x:c r="AE11" s="7" t="str">
        <x:v>TIER0_B0_s2026_E2</x:v>
      </x:c>
      <x:c r="AF11" s="7" t="str">
        <x:v>851876e761814b8ffed045c39fcb9cd9067153e2dbe471b8576d9d5dc70aaa5c</x:v>
      </x:c>
      <x:c r="AG11" s="24"/>
      <x:c r="AH11" s="24"/>
      <x:c r="AI11" s="24"/>
      <x:c r="AJ11" s="24"/>
      <x:c r="AK11" s="24"/>
      <x:c r="AL11" s="24"/>
      <x:c r="AM11" s="24"/>
      <x:c r="AN11" s="24"/>
    </x:row>
    <x:row r="12" ht="25" customHeight="1">
      <x:c r="A12" s="7" t="str">
        <x:v>B0</x:v>
      </x:c>
      <x:c r="B12" s="7" t="n">
        <x:v>2027</x:v>
      </x:c>
      <x:c r="C12" s="7" t="str">
        <x:v>E2</x:v>
      </x:c>
      <x:c r="D12" s="16" t="n">
        <x:v>0.09837542624444964</x:v>
      </x:c>
      <x:c r="E12" s="16" t="n">
        <x:v>0.8861213349769121</x:v>
      </x:c>
      <x:c r="F12" s="16" t="n">
        <x:v>0.5624120656847753</x:v>
      </x:c>
      <x:c r="G12" s="16" t="n">
        <x:v>0.12579634857431224</x:v>
      </x:c>
      <x:c r="H12" s="17" t="n">
        <x:v>0.961731308099453</x:v>
      </x:c>
      <x:c r="I12" s="17" t="n">
        <x:v>-0.022643691900547047</x:v>
      </x:c>
      <x:c r="J12" s="17" t="n">
        <x:v>0.022643691900547047</x:v>
      </x:c>
      <x:c r="K12" s="16"/>
      <x:c r="L12" s="18"/>
      <x:c r="M12" s="18"/>
      <x:c r="N12" s="18"/>
      <x:c r="O12" s="18"/>
      <x:c r="P12" s="27"/>
      <x:c r="Q12" s="16" t="str">
        <x:v>同人口基准</x:v>
      </x:c>
      <x:c r="R12" s="24"/>
      <x:c r="S12" s="24"/>
      <x:c r="T12" s="24"/>
      <x:c r="U12" s="24"/>
      <x:c r="V12" s="17" t="n">
        <x:v>0.38684717341991726</x:v>
      </x:c>
      <x:c r="W12" s="17" t="n">
        <x:v>0.36303323401346144</x:v>
      </x:c>
      <x:c r="X12" s="17" t="n">
        <x:v>0.3169631615102742</x:v>
      </x:c>
      <x:c r="Y12" s="17" t="n">
        <x:v>0.4273271913702056</x:v>
      </x:c>
      <x:c r="Z12" s="7" t="str">
        <x:v>A/B/C未补算</x:v>
      </x:c>
      <x:c r="AA12" s="7" t="str">
        <x:v>10455/10501</x:v>
      </x:c>
      <x:c r="AB12" s="15" t="n">
        <x:v>36018430</x:v>
      </x:c>
      <x:c r="AC12" s="15" t="n">
        <x:v>4496600</x:v>
      </x:c>
      <x:c r="AD12" s="7" t="str">
        <x:v>E9 LAST</x:v>
      </x:c>
      <x:c r="AE12" s="7" t="str">
        <x:v>TIER0_B0_s2027_E2</x:v>
      </x:c>
      <x:c r="AF12" s="7" t="str">
        <x:v>8729e12690d4a154a371330473e5b2e4c7dfafc0dc43055e4e7b5b40ceaf8530</x:v>
      </x:c>
      <x:c r="AG12" s="24"/>
      <x:c r="AH12" s="24"/>
      <x:c r="AI12" s="24"/>
      <x:c r="AJ12" s="24"/>
      <x:c r="AK12" s="24"/>
      <x:c r="AL12" s="24"/>
      <x:c r="AM12" s="24"/>
      <x:c r="AN12" s="24"/>
    </x:row>
    <x:row r="13" ht="25" customHeight="1">
      <x:c r="A13" s="19" t="str">
        <x:v>B1</x:v>
      </x:c>
      <x:c r="B13" s="19" t="n">
        <x:v>2026</x:v>
      </x:c>
      <x:c r="C13" s="19" t="str">
        <x:v>E0</x:v>
      </x:c>
      <x:c r="D13" s="20" t="n">
        <x:v>0.09525347050913102</x:v>
      </x:c>
      <x:c r="E13" s="20" t="n">
        <x:v>0.893468821807229</x:v>
      </x:c>
      <x:c r="F13" s="20" t="n">
        <x:v>0.585904924452039</x:v>
      </x:c>
      <x:c r="G13" s="20" t="n">
        <x:v>0.12411322286781483</x:v>
      </x:c>
      <x:c r="H13" s="21" t="n">
        <x:v>0.9507699150469243</x:v>
      </x:c>
      <x:c r="I13" s="21" t="n">
        <x:v>-0.03360508495307568</x:v>
      </x:c>
      <x:c r="J13" s="21" t="n">
        <x:v>0.03360508495307568</x:v>
      </x:c>
      <x:c r="K13" s="20" t="str">
        <x:v>B1−B0</x:v>
      </x:c>
      <x:c r="L13" s="22" t="n">
        <x:f>D13-D7</x:f>
        <x:v>-0.0016141558304002407</x:v>
      </x:c>
      <x:c r="M13" s="22" t="n">
        <x:f>E13-E7</x:f>
        <x:v>0.007111784534957755</x:v>
      </x:c>
      <x:c r="N13" s="22" t="n">
        <x:f>F13-F7</x:f>
        <x:v>0.018672233236150637</x:v>
      </x:c>
      <x:c r="O13" s="22" t="n">
        <x:f>G13-G7</x:f>
        <x:v>-0.0007722354238164086</x:v>
      </x:c>
      <x:c r="P13" s="26" t="n">
        <x:f>J13-J7</x:f>
        <x:v>0.006671929902593132</x:v>
      </x:c>
      <x:c r="Q13" s="20" t="str">
        <x:f>(IF(L13&lt;0,1,0)+IF(M13&gt;0,1,0)+IF(N13&gt;0,1,0)+IF(O13&lt;0,1,0)+IF(P13&lt;0,1,0))&amp;"项改善，"&amp;(IF(L13&gt;0,1,0)+IF(M13&lt;0,1,0)+IF(N13&lt;0,1,0)+IF(O13&gt;0,1,0)+IF(P13&gt;0,1,0))&amp;"项退化"</x:f>
        <x:v>4项改善，1项退化</x:v>
      </x:c>
      <x:c r="R13" s="20" t="n">
        <x:v>0.24622956156788697</x:v>
      </x:c>
      <x:c r="S13" s="20" t="n">
        <x:v>0.7980259684699804</x:v>
      </x:c>
      <x:c r="T13" s="20" t="n">
        <x:v>0.021719055886627904</x:v>
      </x:c>
      <x:c r="U13" s="20" t="n">
        <x:v>0.5468034418861951</x:v>
      </x:c>
      <x:c r="V13" s="21" t="n">
        <x:v>0.42712671796468443</x:v>
      </x:c>
      <x:c r="W13" s="21" t="n">
        <x:v>0.35547330789838144</x:v>
      </x:c>
      <x:c r="X13" s="21" t="n">
        <x:v>0.3456916116302916</x:v>
      </x:c>
      <x:c r="Y13" s="21" t="n">
        <x:v>0.46004094793437567</x:v>
      </x:c>
      <x:c r="Z13" s="19" t="str">
        <x:v>A/B/C已计算</x:v>
      </x:c>
      <x:c r="AA13" s="19" t="str">
        <x:v>10455/10501</x:v>
      </x:c>
      <x:c r="AB13" s="23" t="n">
        <x:v>36018430</x:v>
      </x:c>
      <x:c r="AC13" s="23" t="n">
        <x:v>4496600</x:v>
      </x:c>
      <x:c r="AD13" s="19" t="str">
        <x:v>E9 LAST</x:v>
      </x:c>
      <x:c r="AE13" s="19" t="str">
        <x:v>TIER0_B1_s2026_E0；TIER1_B1_s2026_E0</x:v>
      </x:c>
      <x:c r="AF13" s="19" t="str">
        <x:v>ead05bd42a7548f61b434792c7c011a066e807bb9e5f135cce653ac312e79051</x:v>
      </x:c>
      <x:c r="AG13" s="20" t="n">
        <x:v>0.16711749407115653</x:v>
      </x:c>
      <x:c r="AH13" s="20" t="n">
        <x:v>0.8548724723599916</x:v>
      </x:c>
      <x:c r="AI13" s="20" t="n">
        <x:v>-0.14097023741887918</x:v>
      </x:c>
      <x:c r="AJ13" s="20" t="n">
        <x:v>0.5189168645251688</x:v>
      </x:c>
      <x:c r="AK13" s="20" t="n">
        <x:v>0.23475149911190715</x:v>
      </x:c>
      <x:c r="AL13" s="20" t="n">
        <x:v>0.8155553192303027</x:v>
      </x:c>
      <x:c r="AM13" s="20" t="n">
        <x:v>-0.010148633427084662</x:v>
      </x:c>
      <x:c r="AN13" s="20" t="n">
        <x:v>0.546069632737342</x:v>
      </x:c>
    </x:row>
    <x:row r="14" ht="25" customHeight="1">
      <x:c r="A14" s="7" t="str">
        <x:v>B1</x:v>
      </x:c>
      <x:c r="B14" s="7" t="n">
        <x:v>2027</x:v>
      </x:c>
      <x:c r="C14" s="7" t="str">
        <x:v>E0</x:v>
      </x:c>
      <x:c r="D14" s="16" t="n">
        <x:v>0.09348051269595507</x:v>
      </x:c>
      <x:c r="E14" s="16" t="n">
        <x:v>0.8940760291098631</x:v>
      </x:c>
      <x:c r="F14" s="16" t="n">
        <x:v>0.5856579585923968</x:v>
      </x:c>
      <x:c r="G14" s="16" t="n">
        <x:v>0.12365568429795556</x:v>
      </x:c>
      <x:c r="H14" s="17" t="n">
        <x:v>0.9565796379486723</x:v>
      </x:c>
      <x:c r="I14" s="17" t="n">
        <x:v>-0.02779536205132771</x:v>
      </x:c>
      <x:c r="J14" s="17" t="n">
        <x:v>0.02779536205132771</x:v>
      </x:c>
      <x:c r="K14" s="16" t="str">
        <x:v>B1−B0</x:v>
      </x:c>
      <x:c r="L14" s="18" t="n">
        <x:f>D14-D8</x:f>
        <x:v>-0.0035743783014561964</x:v>
      </x:c>
      <x:c r="M14" s="18" t="n">
        <x:f>E14-E8</x:f>
        <x:v>0.008393610696023956</x:v>
      </x:c>
      <x:c r="N14" s="18" t="n">
        <x:f>F14-F8</x:f>
        <x:v>0.023401658267785175</x:v>
      </x:c>
      <x:c r="O14" s="18" t="n">
        <x:f>G14-G8</x:f>
        <x:v>-0.001531290883457992</x:v>
      </x:c>
      <x:c r="P14" s="27" t="n">
        <x:f>J14-J8</x:f>
        <x:v>0.0045151892541031025</x:v>
      </x:c>
      <x:c r="Q14" s="16" t="str">
        <x:f>(IF(L14&lt;0,1,0)+IF(M14&gt;0,1,0)+IF(N14&gt;0,1,0)+IF(O14&lt;0,1,0)+IF(P14&lt;0,1,0))&amp;"项改善，"&amp;(IF(L14&gt;0,1,0)+IF(M14&lt;0,1,0)+IF(N14&lt;0,1,0)+IF(O14&gt;0,1,0)+IF(P14&gt;0,1,0))&amp;"项退化"</x:f>
        <x:v>4项改善，1项退化</x:v>
      </x:c>
      <x:c r="R14" s="16" t="n">
        <x:v>0.24667640144125713</x:v>
      </x:c>
      <x:c r="S14" s="16" t="n">
        <x:v>0.7861056731435071</x:v>
      </x:c>
      <x:c r="T14" s="16" t="n">
        <x:v>0.03356755176974809</x:v>
      </x:c>
      <x:c r="U14" s="16" t="n">
        <x:v>0.5499634880679312</x:v>
      </x:c>
      <x:c r="V14" s="17" t="n">
        <x:v>0.4353602722056665</x:v>
      </x:c>
      <x:c r="W14" s="17" t="n">
        <x:v>0.3609232467788118</x:v>
      </x:c>
      <x:c r="X14" s="17" t="n">
        <x:v>0.3494419684295004</x:v>
      </x:c>
      <x:c r="Y14" s="17" t="n">
        <x:v>0.46364183558089933</x:v>
      </x:c>
      <x:c r="Z14" s="7" t="str">
        <x:v>A/B/C已计算</x:v>
      </x:c>
      <x:c r="AA14" s="7" t="str">
        <x:v>10455/10501</x:v>
      </x:c>
      <x:c r="AB14" s="15" t="n">
        <x:v>36018430</x:v>
      </x:c>
      <x:c r="AC14" s="15" t="n">
        <x:v>4496600</x:v>
      </x:c>
      <x:c r="AD14" s="7" t="str">
        <x:v>E9 LAST</x:v>
      </x:c>
      <x:c r="AE14" s="7" t="str">
        <x:v>TIER0_B1_s2027_E0；TIER1_B1_s2027_E0</x:v>
      </x:c>
      <x:c r="AF14" s="7" t="str">
        <x:v>73715f1e0a45cd364362406ea2d2d62b0dccb5b0aa16a69b02944ddd8d69dd43</x:v>
      </x:c>
      <x:c r="AG14" s="16" t="n">
        <x:v>0.16570696692665388</x:v>
      </x:c>
      <x:c r="AH14" s="16" t="n">
        <x:v>0.8371411430761945</x:v>
      </x:c>
      <x:c r="AI14" s="16" t="n">
        <x:v>-0.13225387615722936</x:v>
      </x:c>
      <x:c r="AJ14" s="16" t="n">
        <x:v>0.5070700107926313</x:v>
      </x:c>
      <x:c r="AK14" s="16" t="n">
        <x:v>0.23303500066626912</x:v>
      </x:c>
      <x:c r="AL14" s="16" t="n">
        <x:v>0.8003448288508106</x:v>
      </x:c>
      <x:c r="AM14" s="16" t="n">
        <x:v>-0.0024979802894672747</x:v>
      </x:c>
      <x:c r="AN14" s="16" t="n">
        <x:v>0.5503533085578618</x:v>
      </x:c>
    </x:row>
    <x:row r="15" ht="25" customHeight="1">
      <x:c r="A15" s="7" t="str">
        <x:v>B1</x:v>
      </x:c>
      <x:c r="B15" s="7" t="n">
        <x:v>2026</x:v>
      </x:c>
      <x:c r="C15" s="7" t="str">
        <x:v>E1</x:v>
      </x:c>
      <x:c r="D15" s="16" t="n">
        <x:v>0.07316923116266859</x:v>
      </x:c>
      <x:c r="E15" s="16" t="n">
        <x:v>0.8935728062787865</x:v>
      </x:c>
      <x:c r="F15" s="16" t="n">
        <x:v>0.5874185042535924</x:v>
      </x:c>
      <x:c r="G15" s="16" t="n">
        <x:v>0.12442968797255997</x:v>
      </x:c>
      <x:c r="H15" s="17" t="n">
        <x:v>0.9516143308277365</x:v>
      </x:c>
      <x:c r="I15" s="17" t="n">
        <x:v>-0.0327606691722635</x:v>
      </x:c>
      <x:c r="J15" s="17" t="n">
        <x:v>0.0327606691722635</x:v>
      </x:c>
      <x:c r="K15" s="16" t="str">
        <x:v>B1−B0</x:v>
      </x:c>
      <x:c r="L15" s="18" t="n">
        <x:f>D15-D9</x:f>
        <x:v>-0.002258445047627941</x:v>
      </x:c>
      <x:c r="M15" s="18" t="n">
        <x:f>E15-E9</x:f>
        <x:v>0.008357927877021165</x:v>
      </x:c>
      <x:c r="N15" s="18" t="n">
        <x:f>F15-F9</x:f>
        <x:v>0.02139385288669038</x:v>
      </x:c>
      <x:c r="O15" s="18" t="n">
        <x:f>G15-G9</x:f>
        <x:v>-0.0018782724482783592</x:v>
      </x:c>
      <x:c r="P15" s="27" t="n">
        <x:f>J15-J9</x:f>
        <x:v>0.005812391584752885</x:v>
      </x:c>
      <x:c r="Q15" s="16" t="str">
        <x:f>(IF(L15&lt;0,1,0)+IF(M15&gt;0,1,0)+IF(N15&gt;0,1,0)+IF(O15&lt;0,1,0)+IF(P15&lt;0,1,0))&amp;"项改善，"&amp;(IF(L15&gt;0,1,0)+IF(M15&lt;0,1,0)+IF(N15&lt;0,1,0)+IF(O15&gt;0,1,0)+IF(P15&gt;0,1,0))&amp;"项退化"</x:f>
        <x:v>4项改善，1项退化</x:v>
      </x:c>
      <x:c r="R15" s="24"/>
      <x:c r="S15" s="24"/>
      <x:c r="T15" s="24"/>
      <x:c r="U15" s="24"/>
      <x:c r="V15" s="17" t="n">
        <x:v>0.40182915980963396</x:v>
      </x:c>
      <x:c r="W15" s="17" t="n">
        <x:v>0.3395937119653215</x:v>
      </x:c>
      <x:c r="X15" s="17" t="n">
        <x:v>0.3330181680789203</x:v>
      </x:c>
      <x:c r="Y15" s="17" t="n">
        <x:v>0.4474566544854745</x:v>
      </x:c>
      <x:c r="Z15" s="7" t="str">
        <x:v>A/B/C未补算</x:v>
      </x:c>
      <x:c r="AA15" s="7" t="str">
        <x:v>10455/10501</x:v>
      </x:c>
      <x:c r="AB15" s="15" t="n">
        <x:v>36018430</x:v>
      </x:c>
      <x:c r="AC15" s="15" t="n">
        <x:v>4496600</x:v>
      </x:c>
      <x:c r="AD15" s="7" t="str">
        <x:v>E9 LAST</x:v>
      </x:c>
      <x:c r="AE15" s="7" t="str">
        <x:v>TIER0_B1_s2026_E1</x:v>
      </x:c>
      <x:c r="AF15" s="7" t="str">
        <x:v>b9696c16d69b7b92163563d5d18aae0beba703e8b500c99bb1c216b8803bc17b</x:v>
      </x:c>
      <x:c r="AG15" s="24"/>
      <x:c r="AH15" s="24"/>
      <x:c r="AI15" s="24"/>
      <x:c r="AJ15" s="24"/>
      <x:c r="AK15" s="24"/>
      <x:c r="AL15" s="24"/>
      <x:c r="AM15" s="24"/>
      <x:c r="AN15" s="24"/>
    </x:row>
    <x:row r="16" ht="25" customHeight="1">
      <x:c r="A16" s="7" t="str">
        <x:v>B1</x:v>
      </x:c>
      <x:c r="B16" s="7" t="n">
        <x:v>2027</x:v>
      </x:c>
      <x:c r="C16" s="7" t="str">
        <x:v>E1</x:v>
      </x:c>
      <x:c r="D16" s="16" t="n">
        <x:v>0.07393594118260496</x:v>
      </x:c>
      <x:c r="E16" s="16" t="n">
        <x:v>0.8936068076308228</x:v>
      </x:c>
      <x:c r="F16" s="16" t="n">
        <x:v>0.5829702349131572</x:v>
      </x:c>
      <x:c r="G16" s="16" t="n">
        <x:v>0.12467039394429365</x:v>
      </x:c>
      <x:c r="H16" s="17" t="n">
        <x:v>0.9560912689587688</x:v>
      </x:c>
      <x:c r="I16" s="17" t="n">
        <x:v>-0.028283731041231164</x:v>
      </x:c>
      <x:c r="J16" s="17" t="n">
        <x:v>0.028283731041231164</x:v>
      </x:c>
      <x:c r="K16" s="16" t="str">
        <x:v>B1−B0</x:v>
      </x:c>
      <x:c r="L16" s="18" t="n">
        <x:f>D16-D10</x:f>
        <x:v>-0.0024606901285882665</x:v>
      </x:c>
      <x:c r="M16" s="18" t="n">
        <x:f>E16-E10</x:f>
        <x:v>0.01006189716019723</x:v>
      </x:c>
      <x:c r="N16" s="18" t="n">
        <x:f>F16-F10</x:f>
        <x:v>0.025680072560684164</x:v>
      </x:c>
      <x:c r="O16" s="18" t="n">
        <x:f>G16-G10</x:f>
        <x:v>-0.0015902676766419294</x:v>
      </x:c>
      <x:c r="P16" s="27" t="n">
        <x:f>J16-J10</x:f>
        <x:v>0.009260330027131669</x:v>
      </x:c>
      <x:c r="Q16" s="16" t="str">
        <x:f>(IF(L16&lt;0,1,0)+IF(M16&gt;0,1,0)+IF(N16&gt;0,1,0)+IF(O16&lt;0,1,0)+IF(P16&lt;0,1,0))&amp;"项改善，"&amp;(IF(L16&gt;0,1,0)+IF(M16&lt;0,1,0)+IF(N16&lt;0,1,0)+IF(O16&gt;0,1,0)+IF(P16&gt;0,1,0))&amp;"项退化"</x:f>
        <x:v>4项改善，1项退化</x:v>
      </x:c>
      <x:c r="R16" s="24"/>
      <x:c r="S16" s="24"/>
      <x:c r="T16" s="24"/>
      <x:c r="U16" s="24"/>
      <x:c r="V16" s="17" t="n">
        <x:v>0.4418382778099008</x:v>
      </x:c>
      <x:c r="W16" s="17" t="n">
        <x:v>0.3698884728889058</x:v>
      </x:c>
      <x:c r="X16" s="17" t="n">
        <x:v>0.35084122464295964</x:v>
      </x:c>
      <x:c r="Y16" s="17" t="n">
        <x:v>0.4643106712502215</x:v>
      </x:c>
      <x:c r="Z16" s="7" t="str">
        <x:v>A/B/C未补算</x:v>
      </x:c>
      <x:c r="AA16" s="7" t="str">
        <x:v>10455/10501</x:v>
      </x:c>
      <x:c r="AB16" s="15" t="n">
        <x:v>36018430</x:v>
      </x:c>
      <x:c r="AC16" s="15" t="n">
        <x:v>4496600</x:v>
      </x:c>
      <x:c r="AD16" s="7" t="str">
        <x:v>E9 LAST</x:v>
      </x:c>
      <x:c r="AE16" s="7" t="str">
        <x:v>TIER0_B1_s2027_E1</x:v>
      </x:c>
      <x:c r="AF16" s="7" t="str">
        <x:v>56f2c7af67a28dcb27e03cd65e09966d2d24b1d1df887676a04e9948f1b8ff69</x:v>
      </x:c>
      <x:c r="AG16" s="24"/>
      <x:c r="AH16" s="24"/>
      <x:c r="AI16" s="24"/>
      <x:c r="AJ16" s="24"/>
      <x:c r="AK16" s="24"/>
      <x:c r="AL16" s="24"/>
      <x:c r="AM16" s="24"/>
      <x:c r="AN16" s="24"/>
    </x:row>
    <x:row r="17" ht="25" customHeight="1">
      <x:c r="A17" s="7" t="str">
        <x:v>B1</x:v>
      </x:c>
      <x:c r="B17" s="7" t="n">
        <x:v>2026</x:v>
      </x:c>
      <x:c r="C17" s="7" t="str">
        <x:v>E2</x:v>
      </x:c>
      <x:c r="D17" s="16" t="n">
        <x:v>0.09371188406022081</x:v>
      </x:c>
      <x:c r="E17" s="16" t="n">
        <x:v>0.8941949538256333</x:v>
      </x:c>
      <x:c r="F17" s="16" t="n">
        <x:v>0.5873716943184423</x:v>
      </x:c>
      <x:c r="G17" s="16" t="n">
        <x:v>0.12345248810411322</x:v>
      </x:c>
      <x:c r="H17" s="17" t="n">
        <x:v>0.9515700751679046</x:v>
      </x:c>
      <x:c r="I17" s="17" t="n">
        <x:v>-0.032804924832095406</x:v>
      </x:c>
      <x:c r="J17" s="17" t="n">
        <x:v>0.032804924832095406</x:v>
      </x:c>
      <x:c r="K17" s="16" t="str">
        <x:v>B1−B0</x:v>
      </x:c>
      <x:c r="L17" s="18" t="n">
        <x:f>D17-D11</x:f>
        <x:v>-0.0037910148331445626</x:v>
      </x:c>
      <x:c r="M17" s="18" t="n">
        <x:f>E17-E11</x:f>
        <x:v>0.00797323011454354</x:v>
      </x:c>
      <x:c r="N17" s="18" t="n">
        <x:f>F17-F11</x:f>
        <x:v>0.02183081437386758</x:v>
      </x:c>
      <x:c r="O17" s="18" t="n">
        <x:f>G17-G11</x:f>
        <x:v>-0.0019150849735903586</x:v>
      </x:c>
      <x:c r="P17" s="27" t="n">
        <x:f>J17-J11</x:f>
        <x:v>0.00919339056175783</x:v>
      </x:c>
      <x:c r="Q17" s="16" t="str">
        <x:f>(IF(L17&lt;0,1,0)+IF(M17&gt;0,1,0)+IF(N17&gt;0,1,0)+IF(O17&lt;0,1,0)+IF(P17&lt;0,1,0))&amp;"项改善，"&amp;(IF(L17&gt;0,1,0)+IF(M17&lt;0,1,0)+IF(N17&lt;0,1,0)+IF(O17&gt;0,1,0)+IF(P17&gt;0,1,0))&amp;"项退化"</x:f>
        <x:v>4项改善，1项退化</x:v>
      </x:c>
      <x:c r="R17" s="24"/>
      <x:c r="S17" s="24"/>
      <x:c r="T17" s="24"/>
      <x:c r="U17" s="24"/>
      <x:c r="V17" s="17" t="n">
        <x:v>0.39531712849708667</x:v>
      </x:c>
      <x:c r="W17" s="17" t="n">
        <x:v>0.3350238463716817</x:v>
      </x:c>
      <x:c r="X17" s="17" t="n">
        <x:v>0.3296600441009835</x:v>
      </x:c>
      <x:c r="Y17" s="17" t="n">
        <x:v>0.4441073653282782</x:v>
      </x:c>
      <x:c r="Z17" s="7" t="str">
        <x:v>A/B/C未补算</x:v>
      </x:c>
      <x:c r="AA17" s="7" t="str">
        <x:v>10455/10501</x:v>
      </x:c>
      <x:c r="AB17" s="15" t="n">
        <x:v>36018430</x:v>
      </x:c>
      <x:c r="AC17" s="15" t="n">
        <x:v>4496600</x:v>
      </x:c>
      <x:c r="AD17" s="7" t="str">
        <x:v>E9 LAST</x:v>
      </x:c>
      <x:c r="AE17" s="7" t="str">
        <x:v>TIER0_B1_s2026_E2</x:v>
      </x:c>
      <x:c r="AF17" s="7" t="str">
        <x:v>58bbeb40e5d91efab66d5335bd037e753492a700b95f3c2764d2adc29f3a67d3</x:v>
      </x:c>
      <x:c r="AG17" s="24"/>
      <x:c r="AH17" s="24"/>
      <x:c r="AI17" s="24"/>
      <x:c r="AJ17" s="24"/>
      <x:c r="AK17" s="24"/>
      <x:c r="AL17" s="24"/>
      <x:c r="AM17" s="24"/>
      <x:c r="AN17" s="24"/>
    </x:row>
    <x:row r="18" ht="25" customHeight="1">
      <x:c r="A18" s="7" t="str">
        <x:v>B1</x:v>
      </x:c>
      <x:c r="B18" s="7" t="n">
        <x:v>2027</x:v>
      </x:c>
      <x:c r="C18" s="7" t="str">
        <x:v>E2</x:v>
      </x:c>
      <x:c r="D18" s="16" t="n">
        <x:v>0.0960379146052042</x:v>
      </x:c>
      <x:c r="E18" s="16" t="n">
        <x:v>0.8933403271022435</x:v>
      </x:c>
      <x:c r="F18" s="16" t="n">
        <x:v>0.5839712430805155</x:v>
      </x:c>
      <x:c r="G18" s="16" t="n">
        <x:v>0.12402771613042092</x:v>
      </x:c>
      <x:c r="H18" s="17" t="n">
        <x:v>0.9628094560334475</x:v>
      </x:c>
      <x:c r="I18" s="17" t="n">
        <x:v>-0.021565543966552525</x:v>
      </x:c>
      <x:c r="J18" s="17" t="n">
        <x:v>0.021565543966552525</x:v>
      </x:c>
      <x:c r="K18" s="16" t="str">
        <x:v>B1−B0</x:v>
      </x:c>
      <x:c r="L18" s="18" t="n">
        <x:f>D18-D12</x:f>
        <x:v>-0.0023375116392454487</x:v>
      </x:c>
      <x:c r="M18" s="18" t="n">
        <x:f>E18-E12</x:f>
        <x:v>0.0072189921253313916</x:v>
      </x:c>
      <x:c r="N18" s="18" t="n">
        <x:f>F18-F12</x:f>
        <x:v>0.021559177395740203</x:v>
      </x:c>
      <x:c r="O18" s="18" t="n">
        <x:f>G18-G12</x:f>
        <x:v>-0.0017686324438913187</x:v>
      </x:c>
      <x:c r="P18" s="27" t="n">
        <x:f>J18-J12</x:f>
        <x:v>-0.0010781479339945221</x:v>
      </x:c>
      <x:c r="Q18" s="16" t="str">
        <x:f>(IF(L18&lt;0,1,0)+IF(M18&gt;0,1,0)+IF(N18&gt;0,1,0)+IF(O18&lt;0,1,0)+IF(P18&lt;0,1,0))&amp;"项改善，"&amp;(IF(L18&gt;0,1,0)+IF(M18&lt;0,1,0)+IF(N18&lt;0,1,0)+IF(O18&gt;0,1,0)+IF(P18&gt;0,1,0))&amp;"项退化"</x:f>
        <x:v>5项改善，0项退化</x:v>
      </x:c>
      <x:c r="R18" s="24"/>
      <x:c r="S18" s="24"/>
      <x:c r="T18" s="24"/>
      <x:c r="U18" s="24"/>
      <x:c r="V18" s="17" t="n">
        <x:v>0.44309589467597743</x:v>
      </x:c>
      <x:c r="W18" s="17" t="n">
        <x:v>0.368298520542247</x:v>
      </x:c>
      <x:c r="X18" s="17" t="n">
        <x:v>0.3521282958151622</x:v>
      </x:c>
      <x:c r="Y18" s="17" t="n">
        <x:v>0.4658700683107742</x:v>
      </x:c>
      <x:c r="Z18" s="7" t="str">
        <x:v>A/B/C未补算</x:v>
      </x:c>
      <x:c r="AA18" s="7" t="str">
        <x:v>10455/10501</x:v>
      </x:c>
      <x:c r="AB18" s="15" t="n">
        <x:v>36018430</x:v>
      </x:c>
      <x:c r="AC18" s="15" t="n">
        <x:v>4496600</x:v>
      </x:c>
      <x:c r="AD18" s="7" t="str">
        <x:v>E9 LAST</x:v>
      </x:c>
      <x:c r="AE18" s="7" t="str">
        <x:v>TIER0_B1_s2027_E2</x:v>
      </x:c>
      <x:c r="AF18" s="7" t="str">
        <x:v>92d150d3b06e512ad5215b129877d5a87a57e440f08f859d03640cb6b262c9e4</x:v>
      </x:c>
      <x:c r="AG18" s="24"/>
      <x:c r="AH18" s="24"/>
      <x:c r="AI18" s="24"/>
      <x:c r="AJ18" s="24"/>
      <x:c r="AK18" s="24"/>
      <x:c r="AL18" s="24"/>
      <x:c r="AM18" s="24"/>
      <x:c r="AN18" s="24"/>
    </x:row>
    <x:row r="19" ht="25" customHeight="1">
      <x:c r="A19" s="19" t="str">
        <x:v>B2</x:v>
      </x:c>
      <x:c r="B19" s="19" t="n">
        <x:v>2029</x:v>
      </x:c>
      <x:c r="C19" s="19" t="str">
        <x:v>E0</x:v>
      </x:c>
      <x:c r="D19" s="20" t="n">
        <x:v>0.09863818096858105</x:v>
      </x:c>
      <x:c r="E19" s="20" t="n">
        <x:v>0.8853437282496801</x:v>
      </x:c>
      <x:c r="F19" s="20" t="n">
        <x:v>0.5578497386306888</x:v>
      </x:c>
      <x:c r="G19" s="20" t="n">
        <x:v>0.12949021947909664</x:v>
      </x:c>
      <x:c r="H19" s="21" t="n">
        <x:v>0.9303957628365456</x:v>
      </x:c>
      <x:c r="I19" s="21" t="n">
        <x:v>-0.05397923716345443</x:v>
      </x:c>
      <x:c r="J19" s="21" t="n">
        <x:v>0.05397923716345443</x:v>
      </x:c>
      <x:c r="K19" s="20"/>
      <x:c r="L19" s="22"/>
      <x:c r="M19" s="22"/>
      <x:c r="N19" s="22"/>
      <x:c r="O19" s="22"/>
      <x:c r="P19" s="26"/>
      <x:c r="Q19" s="20" t="str">
        <x:v>与B1人口不同，不作增量归因</x:v>
      </x:c>
      <x:c r="R19" s="20" t="n">
        <x:v>0.26776499813995397</x:v>
      </x:c>
      <x:c r="S19" s="20" t="n">
        <x:v>0.8476720320277039</x:v>
      </x:c>
      <x:c r="T19" s="20" t="n">
        <x:v>0.02639176527478156</x:v>
      </x:c>
      <x:c r="U19" s="20" t="n">
        <x:v>0.5131559423474512</x:v>
      </x:c>
      <x:c r="V19" s="21" t="n">
        <x:v>0.3398975038006964</x:v>
      </x:c>
      <x:c r="W19" s="21" t="n">
        <x:v>0.3455627894679691</x:v>
      </x:c>
      <x:c r="X19" s="21" t="n">
        <x:v>0.2881766435072576</x:v>
      </x:c>
      <x:c r="Y19" s="21" t="n">
        <x:v>0.39647434743270343</x:v>
      </x:c>
      <x:c r="Z19" s="19" t="str">
        <x:v>A/B/C已计算</x:v>
      </x:c>
      <x:c r="AA19" s="19" t="str">
        <x:v>959/963</x:v>
      </x:c>
      <x:c r="AB19" s="23" t="n">
        <x:v>3303090</x:v>
      </x:c>
      <x:c r="AC19" s="23" t="n">
        <x:v>407820</x:v>
      </x:c>
      <x:c r="AD19" s="19" t="str">
        <x:v>E9 LAST</x:v>
      </x:c>
      <x:c r="AE19" s="19" t="str">
        <x:v>TIER0_B2_s2029；TIER1_B2_s2029</x:v>
      </x:c>
      <x:c r="AF19" s="19" t="str">
        <x:v>9d79a11f223473e8d06b873f2a4f46bb12ae44b9b9cddebe358f2901858657e0</x:v>
      </x:c>
      <x:c r="AG19" s="20" t="n">
        <x:v>0.18029928045084365</x:v>
      </x:c>
      <x:c r="AH19" s="20" t="n">
        <x:v>0.9403122734148223</x:v>
      </x:c>
      <x:c r="AI19" s="20" t="n">
        <x:v>-0.1700921973029191</x:v>
      </x:c>
      <x:c r="AJ19" s="20" t="n">
        <x:v>0.4712040508505689</x:v>
      </x:c>
      <x:c r="AK19" s="20" t="n">
        <x:v>0.25608586680803047</x:v>
      </x:c>
      <x:c r="AL19" s="20" t="n">
        <x:v>0.8684696461037508</x:v>
      </x:c>
      <x:c r="AM19" s="20" t="n">
        <x:v>-0.006955792824031933</x:v>
      </x:c>
      <x:c r="AN19" s="20" t="n">
        <x:v>0.5074384430058012</x:v>
      </x:c>
    </x:row>
    <x:row r="20" ht="25" customHeight="1">
      <x:c r="A20" s="19" t="str">
        <x:v>B3</x:v>
      </x:c>
      <x:c r="B20" s="19" t="n">
        <x:v>2029</x:v>
      </x:c>
      <x:c r="C20" s="19" t="str">
        <x:v>E0</x:v>
      </x:c>
      <x:c r="D20" s="20" t="n">
        <x:v>0.09957884578407393</x:v>
      </x:c>
      <x:c r="E20" s="20" t="n">
        <x:v>0.8880247781349105</x:v>
      </x:c>
      <x:c r="F20" s="20" t="n">
        <x:v>0.5707417679094422</x:v>
      </x:c>
      <x:c r="G20" s="20" t="n">
        <x:v>0.12925806665118195</x:v>
      </x:c>
      <x:c r="H20" s="21" t="n">
        <x:v>0.9350497768623413</x:v>
      </x:c>
      <x:c r="I20" s="21" t="n">
        <x:v>-0.04932522313765875</x:v>
      </x:c>
      <x:c r="J20" s="21" t="n">
        <x:v>0.04932522313765875</x:v>
      </x:c>
      <x:c r="K20" s="20" t="str">
        <x:v>B3−B2</x:v>
      </x:c>
      <x:c r="L20" s="22" t="n">
        <x:f>D20-D19</x:f>
        <x:v>0.0009406648154928754</x:v>
      </x:c>
      <x:c r="M20" s="22" t="n">
        <x:f>E20-E19</x:f>
        <x:v>0.0026810498852304354</x:v>
      </x:c>
      <x:c r="N20" s="22" t="n">
        <x:f>F20-F19</x:f>
        <x:v>0.012892029278753436</x:v>
      </x:c>
      <x:c r="O20" s="22" t="n">
        <x:f>G20-G19</x:f>
        <x:v>-0.0002321528279146945</x:v>
      </x:c>
      <x:c r="P20" s="26" t="n">
        <x:f>J20-J19</x:f>
        <x:v>-0.004654014025795683</x:v>
      </x:c>
      <x:c r="Q20" s="20" t="str">
        <x:f>(IF(L20&lt;0,1,0)+IF(M20&gt;0,1,0)+IF(N20&gt;0,1,0)+IF(O20&lt;0,1,0)+IF(P20&lt;0,1,0))&amp;"项改善，"&amp;(IF(L20&gt;0,1,0)+IF(M20&lt;0,1,0)+IF(N20&lt;0,1,0)+IF(O20&gt;0,1,0)+IF(P20&gt;0,1,0))&amp;"项退化"</x:f>
        <x:v>4项改善，1项退化</x:v>
      </x:c>
      <x:c r="R20" s="20" t="n">
        <x:v>0.2697824145545934</x:v>
      </x:c>
      <x:c r="S20" s="20" t="n">
        <x:v>0.8352277080153362</x:v>
      </x:c>
      <x:c r="T20" s="20" t="n">
        <x:v>0.03503971754103649</x:v>
      </x:c>
      <x:c r="U20" s="20" t="n">
        <x:v>0.5282859878349966</x:v>
      </x:c>
      <x:c r="V20" s="21" t="n">
        <x:v>0.363425040459026</x:v>
      </x:c>
      <x:c r="W20" s="21" t="n">
        <x:v>0.34002751889140725</x:v>
      </x:c>
      <x:c r="X20" s="21" t="n">
        <x:v>0.3061086659740882</x:v>
      </x:c>
      <x:c r="Y20" s="21" t="n">
        <x:v>0.41766944847111</x:v>
      </x:c>
      <x:c r="Z20" s="19" t="str">
        <x:v>A/B/C已计算</x:v>
      </x:c>
      <x:c r="AA20" s="19" t="str">
        <x:v>959/963</x:v>
      </x:c>
      <x:c r="AB20" s="23" t="n">
        <x:v>3303090</x:v>
      </x:c>
      <x:c r="AC20" s="23" t="n">
        <x:v>407820</x:v>
      </x:c>
      <x:c r="AD20" s="19" t="str">
        <x:v>E9 LAST</x:v>
      </x:c>
      <x:c r="AE20" s="19" t="str">
        <x:v>TIER0_B3_s2029；TIER1_B3_s2029</x:v>
      </x:c>
      <x:c r="AF20" s="19" t="str">
        <x:v>c7780bc6e45992639c90339c88553fe3a722f6d9681bd247a82ad2dce0c08283</x:v>
      </x:c>
      <x:c r="AG20" s="20" t="n">
        <x:v>0.17679782776054348</x:v>
      </x:c>
      <x:c r="AH20" s="20" t="n">
        <x:v>0.9196947381260459</x:v>
      </x:c>
      <x:c r="AI20" s="20" t="n">
        <x:v>-0.16378669720866315</x:v>
      </x:c>
      <x:c r="AJ20" s="20" t="n">
        <x:v>0.4869232672728314</x:v>
      </x:c>
      <x:c r="AK20" s="20" t="n">
        <x:v>0.2575166012831822</x:v>
      </x:c>
      <x:c r="AL20" s="20" t="n">
        <x:v>0.8578950583652352</x:v>
      </x:c>
      <x:c r="AM20" s="20" t="n">
        <x:v>-0.0005573138473182684</x:v>
      </x:c>
      <x:c r="AN20" s="20" t="n">
        <x:v>0.5239404440141924</x:v>
      </x:c>
    </x:row>
    <x:row r="21" ht="25" customHeight="1">
      <x:c r="A21" s="7" t="str">
        <x:v>B3</x:v>
      </x:c>
      <x:c r="B21" s="7" t="n">
        <x:v>2030</x:v>
      </x:c>
      <x:c r="C21" s="7" t="str">
        <x:v>E0</x:v>
      </x:c>
      <x:c r="D21" s="16" t="n">
        <x:v>0.09535216057777933</x:v>
      </x:c>
      <x:c r="E21" s="16" t="n">
        <x:v>0.8880760332745852</x:v>
      </x:c>
      <x:c r="F21" s="16" t="n">
        <x:v>0.570395915597846</x:v>
      </x:c>
      <x:c r="G21" s="16" t="n">
        <x:v>0.1293714618770597</x:v>
      </x:c>
      <x:c r="H21" s="17" t="n">
        <x:v>0.9393261733117552</x:v>
      </x:c>
      <x:c r="I21" s="17" t="n">
        <x:v>-0.045048826688244836</x:v>
      </x:c>
      <x:c r="J21" s="17" t="n">
        <x:v>0.045048826688244836</x:v>
      </x:c>
      <x:c r="K21" s="16"/>
      <x:c r="L21" s="18"/>
      <x:c r="M21" s="18"/>
      <x:c r="N21" s="18"/>
      <x:c r="O21" s="18"/>
      <x:c r="P21" s="27"/>
      <x:c r="Q21" s="16" t="str">
        <x:v>无同seed参考，暂不配对</x:v>
      </x:c>
      <x:c r="R21" s="16" t="n">
        <x:v>0.26813466590569923</x:v>
      </x:c>
      <x:c r="S21" s="16" t="n">
        <x:v>0.8413345112779593</x:v>
      </x:c>
      <x:c r="T21" s="16" t="n">
        <x:v>0.03602963306140867</x:v>
      </x:c>
      <x:c r="U21" s="16" t="n">
        <x:v>0.5105898382435947</x:v>
      </x:c>
      <x:c r="V21" s="17" t="n">
        <x:v>0.4360256976116914</x:v>
      </x:c>
      <x:c r="W21" s="17" t="n">
        <x:v>0.3786406409974177</x:v>
      </x:c>
      <x:c r="X21" s="17" t="n">
        <x:v>0.34449289878123673</x:v>
      </x:c>
      <x:c r="Y21" s="17" t="n">
        <x:v>0.45717702486557343</x:v>
      </x:c>
      <x:c r="Z21" s="7" t="str">
        <x:v>A/B/C已计算</x:v>
      </x:c>
      <x:c r="AA21" s="7" t="str">
        <x:v>959/963</x:v>
      </x:c>
      <x:c r="AB21" s="15" t="n">
        <x:v>3303090</x:v>
      </x:c>
      <x:c r="AC21" s="15" t="n">
        <x:v>407820</x:v>
      </x:c>
      <x:c r="AD21" s="7" t="str">
        <x:v>E9 LAST</x:v>
      </x:c>
      <x:c r="AE21" s="7" t="str">
        <x:v>TIER0_B3_s2030；TIER1_B3_s2030</x:v>
      </x:c>
      <x:c r="AF21" s="7" t="str">
        <x:v>8e757e5a360a7780e32a87b6433174f25e2dd026b62a54c7d7450ee6e250f058</x:v>
      </x:c>
      <x:c r="AG21" s="16" t="n">
        <x:v>0.17686815756157673</x:v>
      </x:c>
      <x:c r="AH21" s="16" t="n">
        <x:v>0.9139922991330325</x:v>
      </x:c>
      <x:c r="AI21" s="16" t="n">
        <x:v>-0.1550052610570817</x:v>
      </x:c>
      <x:c r="AJ21" s="16" t="n">
        <x:v>0.5118863356069734</x:v>
      </x:c>
      <x:c r="AK21" s="16" t="n">
        <x:v>0.25371878633036743</x:v>
      </x:c>
      <x:c r="AL21" s="16" t="n">
        <x:v>0.8593797942019522</x:v>
      </x:c>
      <x:c r="AM21" s="16" t="n">
        <x:v>-0.0011035523218384455</x:v>
      </x:c>
      <x:c r="AN21" s="16" t="n">
        <x:v>0.506587217632591</x:v>
      </x:c>
    </x:row>
    <x:row r="22" ht="25" customHeight="1">
      <x:c r="A22" s="7" t="str">
        <x:v>B3</x:v>
      </x:c>
      <x:c r="B22" s="7" t="n">
        <x:v>2031</x:v>
      </x:c>
      <x:c r="C22" s="7" t="str">
        <x:v>E0</x:v>
      </x:c>
      <x:c r="D22" s="16" t="n">
        <x:v>0.10021539556138473</x:v>
      </x:c>
      <x:c r="E22" s="16" t="n">
        <x:v>0.8891386888261764</x:v>
      </x:c>
      <x:c r="F22" s="16" t="n">
        <x:v>0.5699960794013148</x:v>
      </x:c>
      <x:c r="G22" s="16" t="n">
        <x:v>0.12972735512703976</x:v>
      </x:c>
      <x:c r="H22" s="17" t="n">
        <x:v>0.9460938649404149</x:v>
      </x:c>
      <x:c r="I22" s="17" t="n">
        <x:v>-0.03828113505958508</x:v>
      </x:c>
      <x:c r="J22" s="17" t="n">
        <x:v>0.03828113505958508</x:v>
      </x:c>
      <x:c r="K22" s="16"/>
      <x:c r="L22" s="18"/>
      <x:c r="M22" s="18"/>
      <x:c r="N22" s="18"/>
      <x:c r="O22" s="18"/>
      <x:c r="P22" s="27"/>
      <x:c r="Q22" s="16" t="str">
        <x:v>无同seed参考，暂不配对</x:v>
      </x:c>
      <x:c r="R22" s="16" t="n">
        <x:v>0.28804641191619357</x:v>
      </x:c>
      <x:c r="S22" s="16" t="n">
        <x:v>0.8303266362684211</x:v>
      </x:c>
      <x:c r="T22" s="16" t="n">
        <x:v>0.07420291809858595</x:v>
      </x:c>
      <x:c r="U22" s="16" t="n">
        <x:v>0.5175092603258192</x:v>
      </x:c>
      <x:c r="V22" s="17" t="n">
        <x:v>0.44928890196655386</x:v>
      </x:c>
      <x:c r="W22" s="17" t="n">
        <x:v>0.38576624595631986</x:v>
      </x:c>
      <x:c r="X22" s="17" t="n">
        <x:v>0.35041193659924724</x:v>
      </x:c>
      <x:c r="Y22" s="17" t="n">
        <x:v>0.46294635911196513</x:v>
      </x:c>
      <x:c r="Z22" s="7" t="str">
        <x:v>A/B/C已计算</x:v>
      </x:c>
      <x:c r="AA22" s="7" t="str">
        <x:v>959/963</x:v>
      </x:c>
      <x:c r="AB22" s="15" t="n">
        <x:v>3303090</x:v>
      </x:c>
      <x:c r="AC22" s="15" t="n">
        <x:v>407820</x:v>
      </x:c>
      <x:c r="AD22" s="7" t="str">
        <x:v>E9 LAST</x:v>
      </x:c>
      <x:c r="AE22" s="7" t="str">
        <x:v>TIER0_B3_s2031；TIER1_B3_s2031</x:v>
      </x:c>
      <x:c r="AF22" s="7" t="str">
        <x:v>bc096c45b9b1d8fcd1b22ed50231487cdb16d9653e77254fdfc7dcb79d513543</x:v>
      </x:c>
      <x:c r="AG22" s="16" t="n">
        <x:v>0.17432302921362708</x:v>
      </x:c>
      <x:c r="AH22" s="16" t="n">
        <x:v>0.8867360595100945</x:v>
      </x:c>
      <x:c r="AI22" s="16" t="n">
        <x:v>-0.1417237495799898</x:v>
      </x:c>
      <x:c r="AJ22" s="16" t="n">
        <x:v>0.5030647992216423</x:v>
      </x:c>
      <x:c r="AK22" s="16" t="n">
        <x:v>0.2683682326910405</x:v>
      </x:c>
      <x:c r="AL22" s="16" t="n">
        <x:v>0.8423825858991651</x:v>
      </x:c>
      <x:c r="AM22" s="16" t="n">
        <x:v>0.02876112898249368</x:v>
      </x:c>
      <x:c r="AN22" s="16" t="n">
        <x:v>0.5183859405327302</x:v>
      </x:c>
    </x:row>
    <x:row r="23" ht="25" customHeight="1">
      <x:c r="A23" s="19" t="str">
        <x:v>B4</x:v>
      </x:c>
      <x:c r="B23" s="19" t="n">
        <x:v>2029</x:v>
      </x:c>
      <x:c r="C23" s="19" t="str">
        <x:v>E0</x:v>
      </x:c>
      <x:c r="D23" s="20" t="n">
        <x:v>0.09791899181978897</x:v>
      </x:c>
      <x:c r="E23" s="20" t="n">
        <x:v>0.8948784047582392</x:v>
      </x:c>
      <x:c r="F23" s="20" t="n">
        <x:v>0.5926382833862388</x:v>
      </x:c>
      <x:c r="G23" s="20" t="n">
        <x:v>0.12719368687787683</x:v>
      </x:c>
      <x:c r="H23" s="21" t="n">
        <x:v>0.9362267667108037</x:v>
      </x:c>
      <x:c r="I23" s="21" t="n">
        <x:v>-0.04814823328919626</x:v>
      </x:c>
      <x:c r="J23" s="21" t="n">
        <x:v>0.04814823328919626</x:v>
      </x:c>
      <x:c r="K23" s="20" t="str">
        <x:v>B4−B3</x:v>
      </x:c>
      <x:c r="L23" s="22" t="n">
        <x:f>D23-D20</x:f>
        <x:v>-0.0016598539642849602</x:v>
      </x:c>
      <x:c r="M23" s="22" t="n">
        <x:f>E23-E20</x:f>
        <x:v>0.006853626623328668</x:v>
      </x:c>
      <x:c r="N23" s="22" t="n">
        <x:f>F23-F20</x:f>
        <x:v>0.021896515476796607</x:v>
      </x:c>
      <x:c r="O23" s="22" t="n">
        <x:f>G23-G20</x:f>
        <x:v>-0.0020643797733051195</x:v>
      </x:c>
      <x:c r="P23" s="26" t="n">
        <x:f>J23-J20</x:f>
        <x:v>-0.0011769898484624841</x:v>
      </x:c>
      <x:c r="Q23" s="20" t="str">
        <x:f>(IF(L23&lt;0,1,0)+IF(M23&gt;0,1,0)+IF(N23&gt;0,1,0)+IF(O23&lt;0,1,0)+IF(P23&lt;0,1,0))&amp;"项改善，"&amp;(IF(L23&gt;0,1,0)+IF(M23&lt;0,1,0)+IF(N23&lt;0,1,0)+IF(O23&gt;0,1,0)+IF(P23&gt;0,1,0))&amp;"项退化"</x:f>
        <x:v>5项改善，0项退化</x:v>
      </x:c>
      <x:c r="R23" s="20" t="n">
        <x:v>0.2598473630206512</x:v>
      </x:c>
      <x:c r="S23" s="20" t="n">
        <x:v>0.8279644410379078</x:v>
      </x:c>
      <x:c r="T23" s="20" t="n">
        <x:v>0.027357046868251716</x:v>
      </x:c>
      <x:c r="U23" s="20" t="n">
        <x:v>0.5435108070006917</x:v>
      </x:c>
      <x:c r="V23" s="21" t="n">
        <x:v>0.40001226031092146</x:v>
      </x:c>
      <x:c r="W23" s="21" t="n">
        <x:v>0.328388871048753</x:v>
      </x:c>
      <x:c r="X23" s="21" t="n">
        <x:v>0.3345734589866382</x:v>
      </x:c>
      <x:c r="Y23" s="21" t="n">
        <x:v>0.4507689276758059</x:v>
      </x:c>
      <x:c r="Z23" s="19" t="str">
        <x:v>A/B/C已计算</x:v>
      </x:c>
      <x:c r="AA23" s="19" t="str">
        <x:v>959/963</x:v>
      </x:c>
      <x:c r="AB23" s="23" t="n">
        <x:v>3303090</x:v>
      </x:c>
      <x:c r="AC23" s="23" t="n">
        <x:v>407820</x:v>
      </x:c>
      <x:c r="AD23" s="19" t="str">
        <x:v>E9 LAST</x:v>
      </x:c>
      <x:c r="AE23" s="19" t="str">
        <x:v>TIER0_B4_s2029；TIER1_B4_s2029</x:v>
      </x:c>
      <x:c r="AF23" s="19" t="str">
        <x:v>7c74eb80ab7d754e3262781d85ac370b2319c3bf27d37ac362860c104acfb34d</x:v>
      </x:c>
      <x:c r="AG23" s="20" t="n">
        <x:v>0.17488438382226765</x:v>
      </x:c>
      <x:c r="AH23" s="20" t="n">
        <x:v>0.9130290292396792</x:v>
      </x:c>
      <x:c r="AI23" s="20" t="n">
        <x:v>-0.16069737816645713</x:v>
      </x:c>
      <x:c r="AJ23" s="20" t="n">
        <x:v>0.5105434297512375</x:v>
      </x:c>
      <x:c r="AK23" s="20" t="n">
        <x:v>0.24936136590999142</x:v>
      </x:c>
      <x:c r="AL23" s="20" t="n">
        <x:v>0.8523214454840151</x:v>
      </x:c>
      <x:c r="AM23" s="20" t="n">
        <x:v>-0.006666658933802723</x:v>
      </x:c>
      <x:c r="AN23" s="20" t="n">
        <x:v>0.5385863919981946</x:v>
      </x:c>
    </x:row>
    <x:row r="24" ht="25" customHeight="1">
      <x:c r="A24" s="7" t="str">
        <x:v>B4</x:v>
      </x:c>
      <x:c r="B24" s="7" t="n">
        <x:v>2030</x:v>
      </x:c>
      <x:c r="C24" s="7" t="str">
        <x:v>E0</x:v>
      </x:c>
      <x:c r="D24" s="16" t="n">
        <x:v>0.09499175845511126</x:v>
      </x:c>
      <x:c r="E24" s="16" t="n">
        <x:v>0.8935437295751268</x:v>
      </x:c>
      <x:c r="F24" s="16" t="n">
        <x:v>0.5858597411919294</x:v>
      </x:c>
      <x:c r="G24" s="16" t="n">
        <x:v>0.128547013741039</x:v>
      </x:c>
      <x:c r="H24" s="17" t="n">
        <x:v>0.9441224069442401</x:v>
      </x:c>
      <x:c r="I24" s="17" t="n">
        <x:v>-0.0402525930557599</x:v>
      </x:c>
      <x:c r="J24" s="17" t="n">
        <x:v>0.0402525930557599</x:v>
      </x:c>
      <x:c r="K24" s="16" t="str">
        <x:v>B4−B3</x:v>
      </x:c>
      <x:c r="L24" s="18" t="n">
        <x:f>D24-D21</x:f>
        <x:v>-0.00036040212266806593</x:v>
      </x:c>
      <x:c r="M24" s="18" t="n">
        <x:f>E24-E21</x:f>
        <x:v>0.005467696300541669</x:v>
      </x:c>
      <x:c r="N24" s="18" t="n">
        <x:f>F24-F21</x:f>
        <x:v>0.015463825594083436</x:v>
      </x:c>
      <x:c r="O24" s="18" t="n">
        <x:f>G24-G21</x:f>
        <x:v>-0.0008244481360207001</x:v>
      </x:c>
      <x:c r="P24" s="27" t="n">
        <x:f>J24-J21</x:f>
        <x:v>-0.004796233632484936</x:v>
      </x:c>
      <x:c r="Q24" s="16" t="str">
        <x:f>(IF(L24&lt;0,1,0)+IF(M24&gt;0,1,0)+IF(N24&gt;0,1,0)+IF(O24&lt;0,1,0)+IF(P24&lt;0,1,0))&amp;"项改善，"&amp;(IF(L24&gt;0,1,0)+IF(M24&lt;0,1,0)+IF(N24&lt;0,1,0)+IF(O24&gt;0,1,0)+IF(P24&gt;0,1,0))&amp;"项退化"</x:f>
        <x:v>5项改善，0项退化</x:v>
      </x:c>
      <x:c r="R24" s="16" t="n">
        <x:v>0.26729332273813267</x:v>
      </x:c>
      <x:c r="S24" s="16" t="n">
        <x:v>0.8334462912631007</x:v>
      </x:c>
      <x:c r="T24" s="16" t="n">
        <x:v>0.043578895776488366</x:v>
      </x:c>
      <x:c r="U24" s="16" t="n">
        <x:v>0.5214629063061795</x:v>
      </x:c>
      <x:c r="V24" s="17" t="n">
        <x:v>0.47980236378794566</x:v>
      </x:c>
      <x:c r="W24" s="17" t="n">
        <x:v>0.38517492097606343</x:v>
      </x:c>
      <x:c r="X24" s="17" t="n">
        <x:v>0.36891243483752983</x:v>
      </x:c>
      <x:c r="Y24" s="17" t="n">
        <x:v>0.4830312245657052</x:v>
      </x:c>
      <x:c r="Z24" s="7" t="str">
        <x:v>A/B/C已计算</x:v>
      </x:c>
      <x:c r="AA24" s="7" t="str">
        <x:v>959/963</x:v>
      </x:c>
      <x:c r="AB24" s="15" t="n">
        <x:v>3303090</x:v>
      </x:c>
      <x:c r="AC24" s="15" t="n">
        <x:v>407820</x:v>
      </x:c>
      <x:c r="AD24" s="7" t="str">
        <x:v>E9 LAST</x:v>
      </x:c>
      <x:c r="AE24" s="7" t="str">
        <x:v>TIER0_B4_s2030；TIER1_B4_s2030</x:v>
      </x:c>
      <x:c r="AF24" s="7" t="str">
        <x:v>7fb2c3714586634dfcee763d7eccdf4d746972044d7c0b9ac8827bca35db414c</x:v>
      </x:c>
      <x:c r="AG24" s="16" t="n">
        <x:v>0.17454912753896637</x:v>
      </x:c>
      <x:c r="AH24" s="16" t="n">
        <x:v>0.9011600464708617</x:v>
      </x:c>
      <x:c r="AI24" s="16" t="n">
        <x:v>-0.14789360184530842</x:v>
      </x:c>
      <x:c r="AJ24" s="16" t="n">
        <x:v>0.5237387168211355</x:v>
      </x:c>
      <x:c r="AK24" s="16" t="n">
        <x:v>0.25267917473599444</x:v>
      </x:c>
      <x:c r="AL24" s="16" t="n">
        <x:v>0.8512329169858814</x:v>
      </x:c>
      <x:c r="AM24" s="16" t="n">
        <x:v>0.005426258501045719</x:v>
      </x:c>
      <x:c r="AN24" s="16" t="n">
        <x:v>0.5167991655203735</x:v>
      </x:c>
    </x:row>
    <x:row r="25" ht="25" customHeight="1">
      <x:c r="A25" s="7" t="str">
        <x:v>B4</x:v>
      </x:c>
      <x:c r="B25" s="7" t="n">
        <x:v>2031</x:v>
      </x:c>
      <x:c r="C25" s="7" t="str">
        <x:v>E0</x:v>
      </x:c>
      <x:c r="D25" s="16" t="n">
        <x:v>0.09626313770420312</x:v>
      </x:c>
      <x:c r="E25" s="16" t="n">
        <x:v>0.8943338745051606</x:v>
      </x:c>
      <x:c r="F25" s="16" t="n">
        <x:v>0.58805178434059</x:v>
      </x:c>
      <x:c r="G25" s="16" t="n">
        <x:v>0.12907009194980418</x:v>
      </x:c>
      <x:c r="H25" s="17" t="n">
        <x:v>0.944551517826492</x:v>
      </x:c>
      <x:c r="I25" s="17" t="n">
        <x:v>-0.03982348217350795</x:v>
      </x:c>
      <x:c r="J25" s="17" t="n">
        <x:v>0.03982348217350795</x:v>
      </x:c>
      <x:c r="K25" s="16" t="str">
        <x:v>B4−B3</x:v>
      </x:c>
      <x:c r="L25" s="18" t="n">
        <x:f>D25-D22</x:f>
        <x:v>-0.003952257857181604</x:v>
      </x:c>
      <x:c r="M25" s="18" t="n">
        <x:f>E25-E22</x:f>
        <x:v>0.005195185678984138</x:v>
      </x:c>
      <x:c r="N25" s="18" t="n">
        <x:f>F25-F22</x:f>
        <x:v>0.01805570493927522</x:v>
      </x:c>
      <x:c r="O25" s="18" t="n">
        <x:f>G25-G22</x:f>
        <x:v>-0.0006572631772355786</x:v>
      </x:c>
      <x:c r="P25" s="27" t="n">
        <x:f>J25-J22</x:f>
        <x:v>0.0015423471139228706</x:v>
      </x:c>
      <x:c r="Q25" s="16" t="str">
        <x:f>(IF(L25&lt;0,1,0)+IF(M25&gt;0,1,0)+IF(N25&gt;0,1,0)+IF(O25&lt;0,1,0)+IF(P25&lt;0,1,0))&amp;"项改善，"&amp;(IF(L25&gt;0,1,0)+IF(M25&lt;0,1,0)+IF(N25&lt;0,1,0)+IF(O25&gt;0,1,0)+IF(P25&gt;0,1,0))&amp;"项退化"</x:f>
        <x:v>4项改善，1项退化</x:v>
      </x:c>
      <x:c r="R25" s="16" t="n">
        <x:v>0.2724319177652465</x:v>
      </x:c>
      <x:c r="S25" s="16" t="n">
        <x:v>0.8262937898964476</x:v>
      </x:c>
      <x:c r="T25" s="16" t="n">
        <x:v>0.057937428614127755</x:v>
      </x:c>
      <x:c r="U25" s="16" t="n">
        <x:v>0.5292899347625356</x:v>
      </x:c>
      <x:c r="V25" s="17" t="n">
        <x:v>0.4975430336913344</x:v>
      </x:c>
      <x:c r="W25" s="17" t="n">
        <x:v>0.3930561662643467</x:v>
      </x:c>
      <x:c r="X25" s="17" t="n">
        <x:v>0.37629700513516673</x:v>
      </x:c>
      <x:c r="Y25" s="17" t="n">
        <x:v>0.4901063951707832</x:v>
      </x:c>
      <x:c r="Z25" s="7" t="str">
        <x:v>A/B/C已计算</x:v>
      </x:c>
      <x:c r="AA25" s="7" t="str">
        <x:v>959/963</x:v>
      </x:c>
      <x:c r="AB25" s="15" t="n">
        <x:v>3303090</x:v>
      </x:c>
      <x:c r="AC25" s="15" t="n">
        <x:v>407820</x:v>
      </x:c>
      <x:c r="AD25" s="7" t="str">
        <x:v>E9 LAST</x:v>
      </x:c>
      <x:c r="AE25" s="7" t="str">
        <x:v>TIER0_B4_s2031；TIER1_B4_s2031</x:v>
      </x:c>
      <x:c r="AF25" s="7" t="str">
        <x:v>17cdf28b1b3032bbe1735f1203bd1cbf6993f78fb3d21e85f6b6a0cfef6fafea</x:v>
      </x:c>
      <x:c r="AG25" s="16" t="n">
        <x:v>0.1724334318055282</x:v>
      </x:c>
      <x:c r="AH25" s="16" t="n">
        <x:v>0.8824044496352399</x:v>
      </x:c>
      <x:c r="AI25" s="16" t="n">
        <x:v>-0.13775340072825526</x:v>
      </x:c>
      <x:c r="AJ25" s="16" t="n">
        <x:v>0.526784316304425</x:v>
      </x:c>
      <x:c r="AK25" s="16" t="n">
        <x:v>0.2565077993126114</x:v>
      </x:c>
      <x:c r="AL25" s="16" t="n">
        <x:v>0.8422360747254571</x:v>
      </x:c>
      <x:c r="AM25" s="16" t="n">
        <x:v>0.0181159064380003</x:v>
      </x:c>
      <x:c r="AN25" s="16" t="n">
        <x:v>0.5249096115096468</x:v>
      </x:c>
    </x:row>
    <x:row r="26" ht="25" customHeight="1">
      <x:c r="A26" s="19" t="str">
        <x:v>B5</x:v>
      </x:c>
      <x:c r="B26" s="19" t="n">
        <x:v>2029</x:v>
      </x:c>
      <x:c r="C26" s="19" t="str">
        <x:v>E0</x:v>
      </x:c>
      <x:c r="D26" s="20" t="n">
        <x:v>0.09818115425527373</x:v>
      </x:c>
      <x:c r="E26" s="20" t="n">
        <x:v>0.8950869439563437</x:v>
      </x:c>
      <x:c r="F26" s="20" t="n">
        <x:v>0.5907729607715951</x:v>
      </x:c>
      <x:c r="G26" s="20" t="n">
        <x:v>0.12731034235976943</x:v>
      </x:c>
      <x:c r="H26" s="21" t="n">
        <x:v>0.9345985974204306</x:v>
      </x:c>
      <x:c r="I26" s="21" t="n">
        <x:v>-0.04977640257956939</x:v>
      </x:c>
      <x:c r="J26" s="21" t="n">
        <x:v>0.04977640257956939</x:v>
      </x:c>
      <x:c r="K26" s="20" t="str">
        <x:v>B5−B4</x:v>
      </x:c>
      <x:c r="L26" s="22" t="n">
        <x:f>D26-D23</x:f>
        <x:v>0.0002621624354847557</x:v>
      </x:c>
      <x:c r="M26" s="22" t="n">
        <x:f>E26-E23</x:f>
        <x:v>0.00020853919810448485</x:v>
      </x:c>
      <x:c r="N26" s="22" t="n">
        <x:f>F26-F23</x:f>
        <x:v>-0.0018653226146436719</x:v>
      </x:c>
      <x:c r="O26" s="22" t="n">
        <x:f>G26-G23</x:f>
        <x:v>0.00011665548189260244</x:v>
      </x:c>
      <x:c r="P26" s="26" t="n">
        <x:f>J26-J23</x:f>
        <x:v>0.001628169290373127</x:v>
      </x:c>
      <x:c r="Q26" s="20" t="str">
        <x:f>(IF(L26&lt;0,1,0)+IF(M26&gt;0,1,0)+IF(N26&gt;0,1,0)+IF(O26&lt;0,1,0)+IF(P26&lt;0,1,0))&amp;"项改善，"&amp;(IF(L26&gt;0,1,0)+IF(M26&lt;0,1,0)+IF(N26&lt;0,1,0)+IF(O26&gt;0,1,0)+IF(P26&gt;0,1,0))&amp;"项退化"</x:f>
        <x:v>1项改善，4项退化</x:v>
      </x:c>
      <x:c r="R26" s="20" t="n">
        <x:v>0.26175486395710207</x:v>
      </x:c>
      <x:c r="S26" s="20" t="n">
        <x:v>0.8309591774734773</x:v>
      </x:c>
      <x:c r="T26" s="20" t="n">
        <x:v>0.0276170647268848</x:v>
      </x:c>
      <x:c r="U26" s="20" t="n">
        <x:v>0.5391742551515287</x:v>
      </x:c>
      <x:c r="V26" s="21" t="n">
        <x:v>0.3948286008533176</x:v>
      </x:c>
      <x:c r="W26" s="21" t="n">
        <x:v>0.3280487753986371</x:v>
      </x:c>
      <x:c r="X26" s="21" t="n">
        <x:v>0.3310219353247127</x:v>
      </x:c>
      <x:c r="Y26" s="21" t="n">
        <x:v>0.4468403607055369</x:v>
      </x:c>
      <x:c r="Z26" s="19" t="str">
        <x:v>A/B/C已计算</x:v>
      </x:c>
      <x:c r="AA26" s="19" t="str">
        <x:v>959/963</x:v>
      </x:c>
      <x:c r="AB26" s="23" t="n">
        <x:v>3303090</x:v>
      </x:c>
      <x:c r="AC26" s="23" t="n">
        <x:v>407820</x:v>
      </x:c>
      <x:c r="AD26" s="19" t="str">
        <x:v>E9 LAST</x:v>
      </x:c>
      <x:c r="AE26" s="19" t="str">
        <x:v>TIER0_B5_s2029；TIER1_B5_s2029</x:v>
      </x:c>
      <x:c r="AF26" s="19" t="str">
        <x:v>1103d380519e96f64efd8ea577fc1fc514e8b20c52690e7f5a38b03d8d4a500f</x:v>
      </x:c>
      <x:c r="AG26" s="20" t="n">
        <x:v>0.17581801113760387</x:v>
      </x:c>
      <x:c r="AH26" s="20" t="n">
        <x:v>0.9176934288698613</x:v>
      </x:c>
      <x:c r="AI26" s="20" t="n">
        <x:v>-0.1625591477880983</x:v>
      </x:c>
      <x:c r="AJ26" s="20" t="n">
        <x:v>0.5072525980846694</x:v>
      </x:c>
      <x:c r="AK26" s="20" t="n">
        <x:v>0.2512648113810309</x:v>
      </x:c>
      <x:c r="AL26" s="20" t="n">
        <x:v>0.8558207971198866</x:v>
      </x:c>
      <x:c r="AM26" s="20" t="n">
        <x:v>-0.0065528976752539225</x:v>
      </x:c>
      <x:c r="AN26" s="20" t="n">
        <x:v>0.5334489917327765</x:v>
      </x:c>
    </x:row>
    <x:row r="27" ht="25" customHeight="1">
      <x:c r="A27" s="19" t="str">
        <x:v>B6</x:v>
      </x:c>
      <x:c r="B27" s="19" t="n">
        <x:v>2029</x:v>
      </x:c>
      <x:c r="C27" s="19" t="str">
        <x:v>E0</x:v>
      </x:c>
      <x:c r="D27" s="20" t="n">
        <x:v>0.09637301023497848</x:v>
      </x:c>
      <x:c r="E27" s="20" t="n">
        <x:v>0.8957210255048111</x:v>
      </x:c>
      <x:c r="F27" s="20" t="n">
        <x:v>0.5918758139388839</x:v>
      </x:c>
      <x:c r="G27" s="20" t="n">
        <x:v>0.12719945304919317</x:v>
      </x:c>
      <x:c r="H27" s="21" t="n">
        <x:v>0.9314722181354519</x:v>
      </x:c>
      <x:c r="I27" s="21" t="n">
        <x:v>-0.05290278186454811</x:v>
      </x:c>
      <x:c r="J27" s="21" t="n">
        <x:v>0.05290278186454811</x:v>
      </x:c>
      <x:c r="K27" s="20" t="str">
        <x:v>B6−B4</x:v>
      </x:c>
      <x:c r="L27" s="22" t="n">
        <x:f>D27-D23</x:f>
        <x:v>-0.0015459815848104935</x:v>
      </x:c>
      <x:c r="M27" s="22" t="n">
        <x:f>E27-E23</x:f>
        <x:v>0.0008426207465719315</x:v>
      </x:c>
      <x:c r="N27" s="22" t="n">
        <x:f>F27-F23</x:f>
        <x:v>-0.0007624694473549187</x:v>
      </x:c>
      <x:c r="O27" s="22" t="n">
        <x:f>G27-G23</x:f>
        <x:v>0.000005766171316340385</x:v>
      </x:c>
      <x:c r="P27" s="26" t="n">
        <x:f>J27-J23</x:f>
        <x:v>0.004754548575351847</x:v>
      </x:c>
      <x:c r="Q27" s="20" t="str">
        <x:f>(IF(L27&lt;0,1,0)+IF(M27&gt;0,1,0)+IF(N27&gt;0,1,0)+IF(O27&lt;0,1,0)+IF(P27&lt;0,1,0))&amp;"项改善，"&amp;(IF(L27&gt;0,1,0)+IF(M27&lt;0,1,0)+IF(N27&lt;0,1,0)+IF(O27&gt;0,1,0)+IF(P27&gt;0,1,0))&amp;"项退化"</x:f>
        <x:v>2项改善，3项退化</x:v>
      </x:c>
      <x:c r="R27" s="20" t="n">
        <x:v>0.2591629875600995</x:v>
      </x:c>
      <x:c r="S27" s="20" t="n">
        <x:v>0.831744325599521</x:v>
      </x:c>
      <x:c r="T27" s="20" t="n">
        <x:v>0.023956353649194035</x:v>
      </x:c>
      <x:c r="U27" s="20" t="n">
        <x:v>0.5389540789652184</x:v>
      </x:c>
      <x:c r="V27" s="21" t="n">
        <x:v>0.405936442548183</x:v>
      </x:c>
      <x:c r="W27" s="21" t="n">
        <x:v>0.33246640134515587</x:v>
      </x:c>
      <x:c r="X27" s="21" t="n">
        <x:v>0.3376676620325044</x:v>
      </x:c>
      <x:c r="Y27" s="21" t="n">
        <x:v>0.4538629394685708</x:v>
      </x:c>
      <x:c r="Z27" s="19" t="str">
        <x:v>A/B/C已计算</x:v>
      </x:c>
      <x:c r="AA27" s="19" t="str">
        <x:v>959/963</x:v>
      </x:c>
      <x:c r="AB27" s="23" t="n">
        <x:v>3303090</x:v>
      </x:c>
      <x:c r="AC27" s="23" t="n">
        <x:v>407820</x:v>
      </x:c>
      <x:c r="AD27" s="19" t="str">
        <x:v>E9 LAST</x:v>
      </x:c>
      <x:c r="AE27" s="19" t="str">
        <x:v>TIER0_B6_s2029；TIER1_B6_s2029</x:v>
      </x:c>
      <x:c r="AF27" s="19" t="str">
        <x:v>3b3ec78e22931f3c48184cd15bcbf75fb6303abe930aeb9fc2bdda61fdab1d98</x:v>
      </x:c>
      <x:c r="AG27" s="20" t="n">
        <x:v>0.17492345674330723</x:v>
      </x:c>
      <x:c r="AH27" s="20" t="n">
        <x:v>0.9121819803882326</x:v>
      </x:c>
      <x:c r="AI27" s="20" t="n">
        <x:v>-0.15986845752011303</x:v>
      </x:c>
      <x:c r="AJ27" s="20" t="n">
        <x:v>0.511292190934657</x:v>
      </x:c>
      <x:c r="AK27" s="20" t="n">
        <x:v>0.24877700312758413</x:v>
      </x:c>
      <x:c r="AL27" s="20" t="n">
        <x:v>0.8552159489613524</x:v>
      </x:c>
      <x:c r="AM27" s="20" t="n">
        <x:v>-0.009224106756418013</x:v>
      </x:c>
      <x:c r="AN27" s="20" t="n">
        <x:v>0.5347364726230226</x:v>
      </x:c>
    </x:row>
    <x:row r="28" ht="25" customHeight="1">
      <x:c r="A28" s="19" t="str">
        <x:v>B7</x:v>
      </x:c>
      <x:c r="B28" s="19" t="n">
        <x:v>2029</x:v>
      </x:c>
      <x:c r="C28" s="19" t="str">
        <x:v>E0</x:v>
      </x:c>
      <x:c r="D28" s="20" t="n">
        <x:v>0.09673163538839748</x:v>
      </x:c>
      <x:c r="E28" s="20" t="n">
        <x:v>0.8959240618810312</x:v>
      </x:c>
      <x:c r="F28" s="20" t="n">
        <x:v>0.5934546324623617</x:v>
      </x:c>
      <x:c r="G28" s="20" t="n">
        <x:v>0.12740129422354954</x:v>
      </x:c>
      <x:c r="H28" s="21" t="n">
        <x:v>0.9348241871413859</x:v>
      </x:c>
      <x:c r="I28" s="21" t="n">
        <x:v>-0.04955081285861407</x:v>
      </x:c>
      <x:c r="J28" s="21" t="n">
        <x:v>0.04955081285861407</x:v>
      </x:c>
      <x:c r="K28" s="20" t="str">
        <x:v>B7−B6</x:v>
      </x:c>
      <x:c r="L28" s="22" t="n">
        <x:f>D28-D27</x:f>
        <x:v>0.00035862515341900103</x:v>
      </x:c>
      <x:c r="M28" s="22" t="n">
        <x:f>E28-E27</x:f>
        <x:v>0.0002030363762201004</x:v>
      </x:c>
      <x:c r="N28" s="22" t="n">
        <x:f>F28-F27</x:f>
        <x:v>0.001578818523477854</x:v>
      </x:c>
      <x:c r="O28" s="22" t="n">
        <x:f>G28-G27</x:f>
        <x:v>0.00020184117435637083</x:v>
      </x:c>
      <x:c r="P28" s="26" t="n">
        <x:f>J28-J27</x:f>
        <x:v>-0.0033519690059340412</x:v>
      </x:c>
      <x:c r="Q28" s="20" t="str">
        <x:f>(IF(L28&lt;0,1,0)+IF(M28&gt;0,1,0)+IF(N28&gt;0,1,0)+IF(O28&lt;0,1,0)+IF(P28&lt;0,1,0))&amp;"项改善，"&amp;(IF(L28&gt;0,1,0)+IF(M28&lt;0,1,0)+IF(N28&lt;0,1,0)+IF(O28&gt;0,1,0)+IF(P28&gt;0,1,0))&amp;"项退化"</x:f>
        <x:v>3项改善，2项退化</x:v>
      </x:c>
      <x:c r="R28" s="20" t="n">
        <x:v>0.25964700753745096</x:v>
      </x:c>
      <x:c r="S28" s="20" t="n">
        <x:v>0.8363531635271959</x:v>
      </x:c>
      <x:c r="T28" s="20" t="n">
        <x:v>0.023102722093596838</x:v>
      </x:c>
      <x:c r="U28" s="20" t="n">
        <x:v>0.534844895984727</x:v>
      </x:c>
      <x:c r="V28" s="21" t="n">
        <x:v>0.42827472904712865</x:v>
      </x:c>
      <x:c r="W28" s="21" t="n">
        <x:v>0.3444764714271774</x:v>
      </x:c>
      <x:c r="X28" s="21" t="n">
        <x:v>0.3495955788896384</x:v>
      </x:c>
      <x:c r="Y28" s="21" t="n">
        <x:v>0.4659644298584232</x:v>
      </x:c>
      <x:c r="Z28" s="19" t="str">
        <x:v>A/B/C已计算</x:v>
      </x:c>
      <x:c r="AA28" s="19" t="str">
        <x:v>959/963</x:v>
      </x:c>
      <x:c r="AB28" s="23" t="n">
        <x:v>3303090</x:v>
      </x:c>
      <x:c r="AC28" s="23" t="n">
        <x:v>407820</x:v>
      </x:c>
      <x:c r="AD28" s="19" t="str">
        <x:v>E9 LAST</x:v>
      </x:c>
      <x:c r="AE28" s="19" t="str">
        <x:v>TIER0_B7_s2029；TIER1_B7_s2029</x:v>
      </x:c>
      <x:c r="AF28" s="19" t="str">
        <x:v>019a6dfabf2eef8eeb48bce993eaed64d86b78ea2da3e413e324f22f347f2e35</x:v>
      </x:c>
      <x:c r="AG28" s="20" t="n">
        <x:v>0.17497551088666324</x:v>
      </x:c>
      <x:c r="AH28" s="20" t="n">
        <x:v>0.9135907247470081</x:v>
      </x:c>
      <x:c r="AI28" s="20" t="n">
        <x:v>-0.1590985263723314</x:v>
      </x:c>
      <x:c r="AJ28" s="20" t="n">
        <x:v>0.5106117881040583</x:v>
      </x:c>
      <x:c r="AK28" s="20" t="n">
        <x:v>0.24913182641065496</x:v>
      </x:c>
      <x:c r="AL28" s="20" t="n">
        <x:v>0.8586323277146618</x:v>
      </x:c>
      <x:c r="AM28" s="20" t="n">
        <x:v>-0.009619505799816953</x:v>
      </x:c>
      <x:c r="AN28" s="20" t="n">
        <x:v>0.5296978214018223</x:v>
      </x:c>
    </x:row>
    <x:row r="29" ht="25" customHeight="1">
      <x:c r="A29" s="7" t="str">
        <x:v>B7</x:v>
      </x:c>
      <x:c r="B29" s="7" t="n">
        <x:v>2030</x:v>
      </x:c>
      <x:c r="C29" s="7" t="str">
        <x:v>E0</x:v>
      </x:c>
      <x:c r="D29" s="16" t="n">
        <x:v>0.09427110457976932</x:v>
      </x:c>
      <x:c r="E29" s="16" t="n">
        <x:v>0.8948893401186548</x:v>
      </x:c>
      <x:c r="F29" s="16" t="n">
        <x:v>0.5867448571634674</x:v>
      </x:c>
      <x:c r="G29" s="16" t="n">
        <x:v>0.12814951925126827</x:v>
      </x:c>
      <x:c r="H29" s="17" t="n">
        <x:v>0.9505933990485999</x:v>
      </x:c>
      <x:c r="I29" s="17" t="n">
        <x:v>-0.03378160095140015</x:v>
      </x:c>
      <x:c r="J29" s="17" t="n">
        <x:v>0.03378160095140015</x:v>
      </x:c>
      <x:c r="K29" s="16"/>
      <x:c r="L29" s="18"/>
      <x:c r="M29" s="18"/>
      <x:c r="N29" s="18"/>
      <x:c r="O29" s="18"/>
      <x:c r="P29" s="27"/>
      <x:c r="Q29" s="16" t="str">
        <x:v>无同seed参考，暂不配对</x:v>
      </x:c>
      <x:c r="R29" s="16" t="n">
        <x:v>0.27043914174648814</x:v>
      </x:c>
      <x:c r="S29" s="16" t="n">
        <x:v>0.8312025709643596</x:v>
      </x:c>
      <x:c r="T29" s="16" t="n">
        <x:v>0.051931133269162474</x:v>
      </x:c>
      <x:c r="U29" s="16" t="n">
        <x:v>0.5194122718748112</x:v>
      </x:c>
      <x:c r="V29" s="17" t="n">
        <x:v>0.46790495806973664</x:v>
      </x:c>
      <x:c r="W29" s="17" t="n">
        <x:v>0.3782225900630833</x:v>
      </x:c>
      <x:c r="X29" s="17" t="n">
        <x:v>0.36423519980148694</x:v>
      </x:c>
      <x:c r="Y29" s="17" t="n">
        <x:v>0.4787031245517627</x:v>
      </x:c>
      <x:c r="Z29" s="7" t="str">
        <x:v>A/B/C已计算</x:v>
      </x:c>
      <x:c r="AA29" s="7" t="str">
        <x:v>959/963</x:v>
      </x:c>
      <x:c r="AB29" s="15" t="n">
        <x:v>3303090</x:v>
      </x:c>
      <x:c r="AC29" s="15" t="n">
        <x:v>407820</x:v>
      </x:c>
      <x:c r="AD29" s="7" t="str">
        <x:v>E9 LAST</x:v>
      </x:c>
      <x:c r="AE29" s="7" t="str">
        <x:v>TIER0_B7_s2030；TIER1_B7_s2030</x:v>
      </x:c>
      <x:c r="AF29" s="7" t="str">
        <x:v>820796601fa0d0be5c11125171116c7548483b0e3e5ac45c102e5ca5d6ffc15d</x:v>
      </x:c>
      <x:c r="AG29" s="16" t="n">
        <x:v>0.1741660039132527</x:v>
      </x:c>
      <x:c r="AH29" s="16" t="n">
        <x:v>0.8972510767354127</x:v>
      </x:c>
      <x:c r="AI29" s="16" t="n">
        <x:v>-0.1459821514504732</x:v>
      </x:c>
      <x:c r="AJ29" s="16" t="n">
        <x:v>0.514697693776245</x:v>
      </x:c>
      <x:c r="AK29" s="16" t="n">
        <x:v>0.2542590526581002</x:v>
      </x:c>
      <x:c r="AL29" s="16" t="n">
        <x:v>0.8468751188728646</x:v>
      </x:c>
      <x:c r="AM29" s="16" t="n">
        <x:v>0.011020391877558332</x:v>
      </x:c>
      <x:c r="AN29" s="16" t="n">
        <x:v>0.5172683956988978</x:v>
      </x:c>
    </x:row>
    <x:row r="30" ht="25" customHeight="1">
      <x:c r="A30" s="7" t="str">
        <x:v>B7</x:v>
      </x:c>
      <x:c r="B30" s="7" t="n">
        <x:v>2031</x:v>
      </x:c>
      <x:c r="C30" s="7" t="str">
        <x:v>E0</x:v>
      </x:c>
      <x:c r="D30" s="16" t="n">
        <x:v>0.09493943784545833</x:v>
      </x:c>
      <x:c r="E30" s="16" t="n">
        <x:v>0.8961514871279781</x:v>
      </x:c>
      <x:c r="F30" s="16" t="n">
        <x:v>0.5933823974392998</x:v>
      </x:c>
      <x:c r="G30" s="16" t="n">
        <x:v>0.12831781093549394</x:v>
      </x:c>
      <x:c r="H30" s="17" t="n">
        <x:v>0.9473542249031436</x:v>
      </x:c>
      <x:c r="I30" s="17" t="n">
        <x:v>-0.03702077509685642</x:v>
      </x:c>
      <x:c r="J30" s="17" t="n">
        <x:v>0.03702077509685642</x:v>
      </x:c>
      <x:c r="K30" s="16"/>
      <x:c r="L30" s="18"/>
      <x:c r="M30" s="18"/>
      <x:c r="N30" s="18"/>
      <x:c r="O30" s="18"/>
      <x:c r="P30" s="27"/>
      <x:c r="Q30" s="16" t="str">
        <x:v>无同seed参考，暂不配对</x:v>
      </x:c>
      <x:c r="R30" s="16" t="n">
        <x:v>0.2708860294934486</x:v>
      </x:c>
      <x:c r="S30" s="16" t="n">
        <x:v>0.8257715959867312</x:v>
      </x:c>
      <x:c r="T30" s="16" t="n">
        <x:v>0.059954171948010275</x:v>
      </x:c>
      <x:c r="U30" s="16" t="n">
        <x:v>0.525262240696649</x:v>
      </x:c>
      <x:c r="V30" s="17" t="n">
        <x:v>0.4884998283556471</x:v>
      </x:c>
      <x:c r="W30" s="17" t="n">
        <x:v>0.3811217595253258</x:v>
      </x:c>
      <x:c r="X30" s="17" t="n">
        <x:v>0.37552897710671906</x:v>
      </x:c>
      <x:c r="Y30" s="17" t="n">
        <x:v>0.49051592361324114</x:v>
      </x:c>
      <x:c r="Z30" s="7" t="str">
        <x:v>A/B/C已计算</x:v>
      </x:c>
      <x:c r="AA30" s="7" t="str">
        <x:v>959/963</x:v>
      </x:c>
      <x:c r="AB30" s="15" t="n">
        <x:v>3303090</x:v>
      </x:c>
      <x:c r="AC30" s="15" t="n">
        <x:v>407820</x:v>
      </x:c>
      <x:c r="AD30" s="7" t="str">
        <x:v>E9 LAST</x:v>
      </x:c>
      <x:c r="AE30" s="7" t="str">
        <x:v>TIER0_B7_s2031；TIER1_B7_s2031</x:v>
      </x:c>
      <x:c r="AF30" s="7" t="str">
        <x:v>4537be7af702efd96d357a64099eb9c55f5cd9d2a4018677908e989c4a730fc7</x:v>
      </x:c>
      <x:c r="AG30" s="16" t="n">
        <x:v>0.17193830194453952</x:v>
      </x:c>
      <x:c r="AH30" s="16" t="n">
        <x:v>0.8780385908454358</x:v>
      </x:c>
      <x:c r="AI30" s="16" t="n">
        <x:v>-0.1350670358414327</x:v>
      </x:c>
      <x:c r="AJ30" s="16" t="n">
        <x:v>0.5163229802136982</x:v>
      </x:c>
      <x:c r="AK30" s="16" t="n">
        <x:v>0.2543004855067446</x:v>
      </x:c>
      <x:c r="AL30" s="16" t="n">
        <x:v>0.8394106450194441</x:v>
      </x:c>
      <x:c r="AM30" s="16" t="n">
        <x:v>0.018062710462832192</x:v>
      </x:c>
      <x:c r="AN30" s="16" t="n">
        <x:v>0.5235699050831178</x:v>
      </x:c>
    </x:row>
    <x:row r="31" ht="25" customHeight="1">
      <x:c r="A31" s="19" t="str">
        <x:v>B8</x:v>
      </x:c>
      <x:c r="B31" s="19" t="n">
        <x:v>2029</x:v>
      </x:c>
      <x:c r="C31" s="19" t="str">
        <x:v>E0</x:v>
      </x:c>
      <x:c r="D31" s="20" t="n">
        <x:v>0.09805082718912765</x:v>
      </x:c>
      <x:c r="E31" s="20" t="n">
        <x:v>0.896157900851324</x:v>
      </x:c>
      <x:c r="F31" s="20" t="n">
        <x:v>0.5941484641201065</x:v>
      </x:c>
      <x:c r="G31" s="20" t="n">
        <x:v>0.12688287078666707</x:v>
      </x:c>
      <x:c r="H31" s="21" t="n">
        <x:v>0.9405423961551665</x:v>
      </x:c>
      <x:c r="I31" s="21" t="n">
        <x:v>-0.04383260384483345</x:v>
      </x:c>
      <x:c r="J31" s="21" t="n">
        <x:v>0.04383260384483345</x:v>
      </x:c>
      <x:c r="K31" s="20" t="str">
        <x:v>B8−B7</x:v>
      </x:c>
      <x:c r="L31" s="22" t="n">
        <x:f>D31-D28</x:f>
        <x:v>0.001319191800730174</x:v>
      </x:c>
      <x:c r="M31" s="22" t="n">
        <x:f>E31-E28</x:f>
        <x:v>0.00023383897029272127</x:v>
      </x:c>
      <x:c r="N31" s="22" t="n">
        <x:f>F31-F28</x:f>
        <x:v>0.0006938316577447257</x:v>
      </x:c>
      <x:c r="O31" s="22" t="n">
        <x:f>G31-G28</x:f>
        <x:v>-0.0005184234368824647</x:v>
      </x:c>
      <x:c r="P31" s="26" t="n">
        <x:f>J31-J28</x:f>
        <x:v>-0.005718209013780617</x:v>
      </x:c>
      <x:c r="Q31" s="20" t="str">
        <x:f>(IF(L31&lt;0,1,0)+IF(M31&gt;0,1,0)+IF(N31&gt;0,1,0)+IF(O31&lt;0,1,0)+IF(P31&lt;0,1,0))&amp;"项改善，"&amp;(IF(L31&gt;0,1,0)+IF(M31&lt;0,1,0)+IF(N31&lt;0,1,0)+IF(O31&gt;0,1,0)+IF(P31&gt;0,1,0))&amp;"项退化"</x:f>
        <x:v>4项改善，1项退化</x:v>
      </x:c>
      <x:c r="R31" s="20" t="n">
        <x:v>0.2624258433886431</x:v>
      </x:c>
      <x:c r="S31" s="20" t="n">
        <x:v>0.8295888626446652</x:v>
      </x:c>
      <x:c r="T31" s="20" t="n">
        <x:v>0.032088495799123</x:v>
      </x:c>
      <x:c r="U31" s="20" t="n">
        <x:v>0.5394131806268779</x:v>
      </x:c>
      <x:c r="V31" s="21" t="n">
        <x:v>0.4314942866951106</x:v>
      </x:c>
      <x:c r="W31" s="21" t="n">
        <x:v>0.34354972282945245</x:v>
      </x:c>
      <x:c r="X31" s="21" t="n">
        <x:v>0.35200454478170246</x:v>
      </x:c>
      <x:c r="Y31" s="21" t="n">
        <x:v>0.4686791058941838</x:v>
      </x:c>
      <x:c r="Z31" s="19" t="str">
        <x:v>A/B/C已计算</x:v>
      </x:c>
      <x:c r="AA31" s="19" t="str">
        <x:v>959/963</x:v>
      </x:c>
      <x:c r="AB31" s="23" t="n">
        <x:v>3303090</x:v>
      </x:c>
      <x:c r="AC31" s="23" t="n">
        <x:v>407820</x:v>
      </x:c>
      <x:c r="AD31" s="19" t="str">
        <x:v>E9 LAST</x:v>
      </x:c>
      <x:c r="AE31" s="19" t="str">
        <x:v>TIER0_B8_s2029；TIER1_B8_s2029</x:v>
      </x:c>
      <x:c r="AF31" s="19" t="str">
        <x:v>8abcf2082176bdbff54426649fe7a0125779873808e72e00197746f86a7f04f0</x:v>
      </x:c>
      <x:c r="AG31" s="20" t="n">
        <x:v>0.17479432889801388</x:v>
      </x:c>
      <x:c r="AH31" s="20" t="n">
        <x:v>0.911209901615417</x:v>
      </x:c>
      <x:c r="AI31" s="20" t="n">
        <x:v>-0.1584069127258297</x:v>
      </x:c>
      <x:c r="AJ31" s="20" t="n">
        <x:v>0.5111525022540971</x:v>
      </x:c>
      <x:c r="AK31" s="20" t="n">
        <x:v>0.25092197155559487</x:v>
      </x:c>
      <x:c r="AL31" s="20" t="n">
        <x:v>0.8529593725657996</x:v>
      </x:c>
      <x:c r="AM31" s="20" t="n">
        <x:v>-0.0038940820303413524</x:v>
      </x:c>
      <x:c r="AN31" s="20" t="n">
        <x:v>0.5348461513206199</x:v>
      </x:c>
    </x:row>
    <x:row r="32" ht="25" customHeight="1">
      <x:c r="A32" s="7" t="str">
        <x:v>B8</x:v>
      </x:c>
      <x:c r="B32" s="7" t="n">
        <x:v>2030</x:v>
      </x:c>
      <x:c r="C32" s="7" t="str">
        <x:v>E0</x:v>
      </x:c>
      <x:c r="D32" s="16" t="n">
        <x:v>0.09425849338249301</x:v>
      </x:c>
      <x:c r="E32" s="16" t="n">
        <x:v>0.8955205451281905</x:v>
      </x:c>
      <x:c r="F32" s="16" t="n">
        <x:v>0.5870065768744974</x:v>
      </x:c>
      <x:c r="G32" s="16" t="n">
        <x:v>0.12906699369635802</x:v>
      </x:c>
      <x:c r="H32" s="17" t="n">
        <x:v>0.9481437889264872</x:v>
      </x:c>
      <x:c r="I32" s="17" t="n">
        <x:v>-0.03623121107351279</x:v>
      </x:c>
      <x:c r="J32" s="17" t="n">
        <x:v>0.03623121107351279</x:v>
      </x:c>
      <x:c r="K32" s="16" t="str">
        <x:v>B8−B7</x:v>
      </x:c>
      <x:c r="L32" s="18" t="n">
        <x:f>D32-D29</x:f>
        <x:v>-0.000012611197276315989</x:v>
      </x:c>
      <x:c r="M32" s="18" t="n">
        <x:f>E32-E29</x:f>
        <x:v>0.0006312050095356181</x:v>
      </x:c>
      <x:c r="N32" s="18" t="n">
        <x:f>F32-F29</x:f>
        <x:v>0.00026171971103006175</x:v>
      </x:c>
      <x:c r="O32" s="18" t="n">
        <x:f>G32-G29</x:f>
        <x:v>0.0009174744450897443</x:v>
      </x:c>
      <x:c r="P32" s="27" t="n">
        <x:f>J32-J29</x:f>
        <x:v>0.0024496101221126443</x:v>
      </x:c>
      <x:c r="Q32" s="16" t="str">
        <x:f>(IF(L32&lt;0,1,0)+IF(M32&gt;0,1,0)+IF(N32&gt;0,1,0)+IF(O32&lt;0,1,0)+IF(P32&lt;0,1,0))&amp;"项改善，"&amp;(IF(L32&gt;0,1,0)+IF(M32&lt;0,1,0)+IF(N32&lt;0,1,0)+IF(O32&gt;0,1,0)+IF(P32&gt;0,1,0))&amp;"项退化"</x:f>
        <x:v>3项改善，2项退化</x:v>
      </x:c>
      <x:c r="R32" s="16" t="n">
        <x:v>0.2726969361275731</x:v>
      </x:c>
      <x:c r="S32" s="16" t="n">
        <x:v>0.8319340468293674</x:v>
      </x:c>
      <x:c r="T32" s="16" t="n">
        <x:v>0.05557165305730703</x:v>
      </x:c>
      <x:c r="U32" s="16" t="n">
        <x:v>0.5176464864281238</x:v>
      </x:c>
      <x:c r="V32" s="17" t="n">
        <x:v>0.48322299053504</x:v>
      </x:c>
      <x:c r="W32" s="17" t="n">
        <x:v>0.3874834879636968</x:v>
      </x:c>
      <x:c r="X32" s="17" t="n">
        <x:v>0.370089786229523</x:v>
      </x:c>
      <x:c r="Y32" s="17" t="n">
        <x:v>0.4840566528035078</x:v>
      </x:c>
      <x:c r="Z32" s="7" t="str">
        <x:v>A/B/C已计算</x:v>
      </x:c>
      <x:c r="AA32" s="7" t="str">
        <x:v>959/963</x:v>
      </x:c>
      <x:c r="AB32" s="15" t="n">
        <x:v>3303090</x:v>
      </x:c>
      <x:c r="AC32" s="15" t="n">
        <x:v>407820</x:v>
      </x:c>
      <x:c r="AD32" s="7" t="str">
        <x:v>E9 LAST</x:v>
      </x:c>
      <x:c r="AE32" s="7" t="str">
        <x:v>TIER0_B8_s2030；TIER1_B8_s2030</x:v>
      </x:c>
      <x:c r="AF32" s="7" t="str">
        <x:v>f20d81858e8a61e78778da846b970e75914609f3ed05069bbebdcec459ff246e</x:v>
      </x:c>
      <x:c r="AG32" s="16" t="n">
        <x:v>0.17388659874071144</x:v>
      </x:c>
      <x:c r="AH32" s="16" t="n">
        <x:v>0.8926860563958638</x:v>
      </x:c>
      <x:c r="AI32" s="16" t="n">
        <x:v>-0.14231586430181709</x:v>
      </x:c>
      <x:c r="AJ32" s="16" t="n">
        <x:v>0.5134234159353274</x:v>
      </x:c>
      <x:c r="AK32" s="16" t="n">
        <x:v>0.25594614334611354</x:v>
      </x:c>
      <x:c r="AL32" s="16" t="n">
        <x:v>0.8455544185196401</x:v>
      </x:c>
      <x:c r="AM32" s="16" t="n">
        <x:v>0.015187056135631503</x:v>
      </x:c>
      <x:c r="AN32" s="16" t="n">
        <x:v>0.5162273831961891</x:v>
      </x:c>
    </x:row>
    <x:row r="33" ht="25" customHeight="1">
      <x:c r="A33" s="7" t="str">
        <x:v>B8</x:v>
      </x:c>
      <x:c r="B33" s="7" t="n">
        <x:v>2031</x:v>
      </x:c>
      <x:c r="C33" s="7" t="str">
        <x:v>E0</x:v>
      </x:c>
      <x:c r="D33" s="16" t="n">
        <x:v>0.09527247567984089</x:v>
      </x:c>
      <x:c r="E33" s="16" t="n">
        <x:v>0.8961658710781962</x:v>
      </x:c>
      <x:c r="F33" s="16" t="n">
        <x:v>0.5911901054616281</x:v>
      </x:c>
      <x:c r="G33" s="16" t="n">
        <x:v>0.12880291428917948</x:v>
      </x:c>
      <x:c r="H33" s="17" t="n">
        <x:v>0.9409249178559168</x:v>
      </x:c>
      <x:c r="I33" s="17" t="n">
        <x:v>-0.04345008214408319</x:v>
      </x:c>
      <x:c r="J33" s="17" t="n">
        <x:v>0.04345008214408319</x:v>
      </x:c>
      <x:c r="K33" s="16" t="str">
        <x:v>B8−B7</x:v>
      </x:c>
      <x:c r="L33" s="18" t="n">
        <x:f>D33-D30</x:f>
        <x:v>0.0003330378343825574</x:v>
      </x:c>
      <x:c r="M33" s="18" t="n">
        <x:f>E33-E30</x:f>
        <x:v>0.000014383950218133101</x:v>
      </x:c>
      <x:c r="N33" s="18" t="n">
        <x:f>F33-F30</x:f>
        <x:v>-0.0021922919776716787</x:v>
      </x:c>
      <x:c r="O33" s="18" t="n">
        <x:f>G33-G30</x:f>
        <x:v>0.0004851033536855398</x:v>
      </x:c>
      <x:c r="P33" s="27" t="n">
        <x:f>J33-J30</x:f>
        <x:v>0.006429307047226773</x:v>
      </x:c>
      <x:c r="Q33" s="16" t="str">
        <x:f>(IF(L33&lt;0,1,0)+IF(M33&gt;0,1,0)+IF(N33&gt;0,1,0)+IF(O33&lt;0,1,0)+IF(P33&lt;0,1,0))&amp;"项改善，"&amp;(IF(L33&gt;0,1,0)+IF(M33&lt;0,1,0)+IF(N33&lt;0,1,0)+IF(O33&gt;0,1,0)+IF(P33&gt;0,1,0))&amp;"项退化"</x:f>
        <x:v>1项改善，4项退化</x:v>
      </x:c>
      <x:c r="R33" s="16" t="n">
        <x:v>0.26900579944670916</x:v>
      </x:c>
      <x:c r="S33" s="16" t="n">
        <x:v>0.8313975135626878</x:v>
      </x:c>
      <x:c r="T33" s="16" t="n">
        <x:v>0.05051611832058496</x:v>
      </x:c>
      <x:c r="U33" s="16" t="n">
        <x:v>0.5217410239953062</x:v>
      </x:c>
      <x:c r="V33" s="17" t="n">
        <x:v>0.4985312147516061</x:v>
      </x:c>
      <x:c r="W33" s="17" t="n">
        <x:v>0.3889206150738786</x:v>
      </x:c>
      <x:c r="X33" s="17" t="n">
        <x:v>0.3784522827833073</x:v>
      </x:c>
      <x:c r="Y33" s="17" t="n">
        <x:v>0.4928304997212387</x:v>
      </x:c>
      <x:c r="Z33" s="7" t="str">
        <x:v>A/B/C已计算</x:v>
      </x:c>
      <x:c r="AA33" s="7" t="str">
        <x:v>959/963</x:v>
      </x:c>
      <x:c r="AB33" s="15" t="n">
        <x:v>3303090</x:v>
      </x:c>
      <x:c r="AC33" s="15" t="n">
        <x:v>407820</x:v>
      </x:c>
      <x:c r="AD33" s="7" t="str">
        <x:v>E9 LAST</x:v>
      </x:c>
      <x:c r="AE33" s="7" t="str">
        <x:v>TIER0_B8_s2031；TIER1_B8_s2031</x:v>
      </x:c>
      <x:c r="AF33" s="7" t="str">
        <x:v>bc324e74209076613ae3ed9a2e20bab42e81456afd315728948ef5e2c5112f07</x:v>
      </x:c>
      <x:c r="AG33" s="16" t="n">
        <x:v>0.1729966889468899</x:v>
      </x:c>
      <x:c r="AH33" s="16" t="n">
        <x:v>0.888757204001579</x:v>
      </x:c>
      <x:c r="AI33" s="16" t="n">
        <x:v>-0.14004575481803339</x:v>
      </x:c>
      <x:c r="AJ33" s="16" t="n">
        <x:v>0.5195984574033056</x:v>
      </x:c>
      <x:c r="AK33" s="16" t="n">
        <x:v>0.25421531417658827</x:v>
      </x:c>
      <x:c r="AL33" s="16" t="n">
        <x:v>0.846590012612838</x:v>
      </x:c>
      <x:c r="AM33" s="16" t="n">
        <x:v>0.013042612599824697</x:v>
      </x:c>
      <x:c r="AN33" s="16" t="n">
        <x:v>0.5187593529583571</x:v>
      </x:c>
    </x:row>
    <x:row r="34" ht="25" customHeight="1">
      <x:c r="A34" s="19" t="str">
        <x:v>B7_ZERO_DOTE</x:v>
      </x:c>
      <x:c r="B34" s="19" t="n">
        <x:v>2029</x:v>
      </x:c>
      <x:c r="C34" s="19" t="str">
        <x:v>E0</x:v>
      </x:c>
      <x:c r="D34" s="20" t="n">
        <x:v>0.09837715872949009</x:v>
      </x:c>
      <x:c r="E34" s="20" t="n">
        <x:v>0.8950890921724128</x:v>
      </x:c>
      <x:c r="F34" s="20" t="n">
        <x:v>0.5887610540323724</x:v>
      </x:c>
      <x:c r="G34" s="20" t="n">
        <x:v>0.12828416530228165</x:v>
      </x:c>
      <x:c r="H34" s="21" t="n">
        <x:v>0.9390932274042469</x:v>
      </x:c>
      <x:c r="I34" s="21" t="n">
        <x:v>-0.045281772595753056</x:v>
      </x:c>
      <x:c r="J34" s="21" t="n">
        <x:v>0.045281772595753056</x:v>
      </x:c>
      <x:c r="K34" s="20" t="str">
        <x:v>B7−ZERO_DOTE</x:v>
      </x:c>
      <x:c r="L34" s="22" t="n">
        <x:f>D28-D34</x:f>
        <x:v>-0.0016455233410926084</x:v>
      </x:c>
      <x:c r="M34" s="22" t="n">
        <x:f>E28-E34</x:f>
        <x:v>0.0008349697086184049</x:v>
      </x:c>
      <x:c r="N34" s="22" t="n">
        <x:f>F28-F34</x:f>
        <x:v>0.004693578429989298</x:v>
      </x:c>
      <x:c r="O34" s="22" t="n">
        <x:f>G28-G34</x:f>
        <x:v>-0.0008828710787321115</x:v>
      </x:c>
      <x:c r="P34" s="26" t="n">
        <x:f>J28-J34</x:f>
        <x:v>0.0042690402628610125</x:v>
      </x:c>
      <x:c r="Q34" s="20" t="str">
        <x:f>(IF(L34&lt;0,1,0)+IF(M34&gt;0,1,0)+IF(N34&gt;0,1,0)+IF(O34&lt;0,1,0)+IF(P34&lt;0,1,0))&amp;"项改善，"&amp;(IF(L34&gt;0,1,0)+IF(M34&lt;0,1,0)+IF(N34&lt;0,1,0)+IF(O34&gt;0,1,0)+IF(P34&gt;0,1,0))&amp;"项退化"</x:f>
        <x:v>4项改善，1项退化</x:v>
      </x:c>
      <x:c r="R34" s="25"/>
      <x:c r="S34" s="25"/>
      <x:c r="T34" s="25"/>
      <x:c r="U34" s="25"/>
      <x:c r="V34" s="21" t="n">
        <x:v>0.42371879750870484</x:v>
      </x:c>
      <x:c r="W34" s="21" t="n">
        <x:v>0.3486581228797588</x:v>
      </x:c>
      <x:c r="X34" s="21" t="n">
        <x:v>0.3453816465095269</x:v>
      </x:c>
      <x:c r="Y34" s="21" t="n">
        <x:v>0.46097228336479806</x:v>
      </x:c>
      <x:c r="Z34" s="19" t="str">
        <x:v>A/B/C未补算</x:v>
      </x:c>
      <x:c r="AA34" s="19" t="str">
        <x:v>959/963</x:v>
      </x:c>
      <x:c r="AB34" s="23" t="n">
        <x:v>3303090</x:v>
      </x:c>
      <x:c r="AC34" s="23" t="n">
        <x:v>407820</x:v>
      </x:c>
      <x:c r="AD34" s="19" t="str">
        <x:v>E9 LAST</x:v>
      </x:c>
      <x:c r="AE34" s="19" t="str">
        <x:v>TIER0_B7_ZERO_DOTE_s2029</x:v>
      </x:c>
      <x:c r="AF34" s="19" t="str">
        <x:v>445e4be5f49cba10057d90d16b82827b2c125964fd9bf4811d1e819fb3954a21</x:v>
      </x:c>
      <x:c r="AG34" s="25"/>
      <x:c r="AH34" s="25"/>
      <x:c r="AI34" s="25"/>
      <x:c r="AJ34" s="25"/>
      <x:c r="AK34" s="25"/>
      <x:c r="AL34" s="25"/>
      <x:c r="AM34" s="25"/>
      <x:c r="AN34" s="25"/>
    </x:row>
    <x:row r="35" ht="25" customHeight="1">
      <x:c r="A35" s="7" t="str">
        <x:v>B7_ZERO_DOTE</x:v>
      </x:c>
      <x:c r="B35" s="7" t="n">
        <x:v>2030</x:v>
      </x:c>
      <x:c r="C35" s="7" t="str">
        <x:v>E0</x:v>
      </x:c>
      <x:c r="D35" s="16" t="n">
        <x:v>0.09469682755412646</x:v>
      </x:c>
      <x:c r="E35" s="16" t="n">
        <x:v>0.895671287854021</x:v>
      </x:c>
      <x:c r="F35" s="16" t="n">
        <x:v>0.588196837794948</x:v>
      </x:c>
      <x:c r="G35" s="16" t="n">
        <x:v>0.1285103954988096</x:v>
      </x:c>
      <x:c r="H35" s="17" t="n">
        <x:v>0.9516036486685302</x:v>
      </x:c>
      <x:c r="I35" s="17" t="n">
        <x:v>-0.0327713513314698</x:v>
      </x:c>
      <x:c r="J35" s="17" t="n">
        <x:v>0.0327713513314698</x:v>
      </x:c>
      <x:c r="K35" s="16" t="str">
        <x:v>B7−ZERO_DOTE</x:v>
      </x:c>
      <x:c r="L35" s="18" t="n">
        <x:f>D29-D35</x:f>
        <x:v>-0.00042572297435714</x:v>
      </x:c>
      <x:c r="M35" s="18" t="n">
        <x:f>E29-E35</x:f>
        <x:v>-0.0007819477353661064</x:v>
      </x:c>
      <x:c r="N35" s="18" t="n">
        <x:f>F29-F35</x:f>
        <x:v>-0.001451980631480665</x:v>
      </x:c>
      <x:c r="O35" s="18" t="n">
        <x:f>G29-G35</x:f>
        <x:v>-0.00036087624754133074</x:v>
      </x:c>
      <x:c r="P35" s="27" t="n">
        <x:f>J29-J35</x:f>
        <x:v>0.001010249619930348</x:v>
      </x:c>
      <x:c r="Q35" s="16" t="str">
        <x:f>(IF(L35&lt;0,1,0)+IF(M35&gt;0,1,0)+IF(N35&gt;0,1,0)+IF(O35&lt;0,1,0)+IF(P35&lt;0,1,0))&amp;"项改善，"&amp;(IF(L35&gt;0,1,0)+IF(M35&lt;0,1,0)+IF(N35&lt;0,1,0)+IF(O35&gt;0,1,0)+IF(P35&gt;0,1,0))&amp;"项退化"</x:f>
        <x:v>2项改善，3项退化</x:v>
      </x:c>
      <x:c r="R35" s="24"/>
      <x:c r="S35" s="24"/>
      <x:c r="T35" s="24"/>
      <x:c r="U35" s="24"/>
      <x:c r="V35" s="17" t="n">
        <x:v>0.46587465058113875</x:v>
      </x:c>
      <x:c r="W35" s="17" t="n">
        <x:v>0.3756925139488575</x:v>
      </x:c>
      <x:c r="X35" s="17" t="n">
        <x:v>0.36386461439463147</x:v>
      </x:c>
      <x:c r="Y35" s="17" t="n">
        <x:v>0.4785541296385998</x:v>
      </x:c>
      <x:c r="Z35" s="7" t="str">
        <x:v>A/B/C未补算</x:v>
      </x:c>
      <x:c r="AA35" s="7" t="str">
        <x:v>959/963</x:v>
      </x:c>
      <x:c r="AB35" s="15" t="n">
        <x:v>3303090</x:v>
      </x:c>
      <x:c r="AC35" s="15" t="n">
        <x:v>407820</x:v>
      </x:c>
      <x:c r="AD35" s="7" t="str">
        <x:v>E9 LAST</x:v>
      </x:c>
      <x:c r="AE35" s="7" t="str">
        <x:v>ZERO_THREE_SEED_PUBLIC</x:v>
      </x:c>
      <x:c r="AF35" s="7" t="str">
        <x:v>b03ee41cd190dc7579a1fb993afb1f5598997fca91af3b1c2addc6eed430f0ba</x:v>
      </x:c>
      <x:c r="AG35" s="24"/>
      <x:c r="AH35" s="24"/>
      <x:c r="AI35" s="24"/>
      <x:c r="AJ35" s="24"/>
      <x:c r="AK35" s="24"/>
      <x:c r="AL35" s="24"/>
      <x:c r="AM35" s="24"/>
      <x:c r="AN35" s="24"/>
    </x:row>
    <x:row r="36" ht="25" customHeight="1">
      <x:c r="A36" s="7" t="str">
        <x:v>B7_ZERO_DOTE</x:v>
      </x:c>
      <x:c r="B36" s="7" t="n">
        <x:v>2031</x:v>
      </x:c>
      <x:c r="C36" s="7" t="str">
        <x:v>E0</x:v>
      </x:c>
      <x:c r="D36" s="16" t="n">
        <x:v>0.09554607558502481</x:v>
      </x:c>
      <x:c r="E36" s="16" t="n">
        <x:v>0.8964896120276353</x:v>
      </x:c>
      <x:c r="F36" s="16" t="n">
        <x:v>0.5938683192555683</x:v>
      </x:c>
      <x:c r="G36" s="16" t="n">
        <x:v>0.12766671259170687</x:v>
      </x:c>
      <x:c r="H36" s="17" t="n">
        <x:v>0.9454931097052621</x:v>
      </x:c>
      <x:c r="I36" s="17" t="n">
        <x:v>-0.038881890294737875</x:v>
      </x:c>
      <x:c r="J36" s="17" t="n">
        <x:v>0.038881890294737875</x:v>
      </x:c>
      <x:c r="K36" s="16" t="str">
        <x:v>B7−ZERO_DOTE</x:v>
      </x:c>
      <x:c r="L36" s="18" t="n">
        <x:f>D30-D36</x:f>
        <x:v>-0.0006066377395664846</x:v>
      </x:c>
      <x:c r="M36" s="18" t="n">
        <x:f>E30-E36</x:f>
        <x:v>-0.0003381248996572328</x:v>
      </x:c>
      <x:c r="N36" s="18" t="n">
        <x:f>F30-F36</x:f>
        <x:v>-0.0004859218162684975</x:v>
      </x:c>
      <x:c r="O36" s="18" t="n">
        <x:f>G30-G36</x:f>
        <x:v>0.000651098343787071</x:v>
      </x:c>
      <x:c r="P36" s="27" t="n">
        <x:f>J30-J36</x:f>
        <x:v>-0.0018611151978814577</x:v>
      </x:c>
      <x:c r="Q36" s="16" t="str">
        <x:f>(IF(L36&lt;0,1,0)+IF(M36&gt;0,1,0)+IF(N36&gt;0,1,0)+IF(O36&lt;0,1,0)+IF(P36&lt;0,1,0))&amp;"项改善，"&amp;(IF(L36&gt;0,1,0)+IF(M36&lt;0,1,0)+IF(N36&lt;0,1,0)+IF(O36&gt;0,1,0)+IF(P36&gt;0,1,0))&amp;"项退化"</x:f>
        <x:v>2项改善，3项退化</x:v>
      </x:c>
      <x:c r="R36" s="24"/>
      <x:c r="S36" s="24"/>
      <x:c r="T36" s="24"/>
      <x:c r="U36" s="24"/>
      <x:c r="V36" s="17" t="n">
        <x:v>0.4749840615958021</x:v>
      </x:c>
      <x:c r="W36" s="17" t="n">
        <x:v>0.37105954394771273</x:v>
      </x:c>
      <x:c r="X36" s="17" t="n">
        <x:v>0.3710149146815858</x:v>
      </x:c>
      <x:c r="Y36" s="17" t="n">
        <x:v>0.4866887469205219</x:v>
      </x:c>
      <x:c r="Z36" s="7" t="str">
        <x:v>A/B/C未补算</x:v>
      </x:c>
      <x:c r="AA36" s="7" t="str">
        <x:v>959/963</x:v>
      </x:c>
      <x:c r="AB36" s="15" t="n">
        <x:v>3303090</x:v>
      </x:c>
      <x:c r="AC36" s="15" t="n">
        <x:v>407820</x:v>
      </x:c>
      <x:c r="AD36" s="7" t="str">
        <x:v>E9 LAST</x:v>
      </x:c>
      <x:c r="AE36" s="7" t="str">
        <x:v>ZERO_THREE_SEED_PUBLIC</x:v>
      </x:c>
      <x:c r="AF36" s="7" t="str">
        <x:v>f99952905157d8e649e567af671d0ee3ff02f11530a9996b80306ef758acdac0</x:v>
      </x:c>
      <x:c r="AG36" s="24"/>
      <x:c r="AH36" s="24"/>
      <x:c r="AI36" s="24"/>
      <x:c r="AJ36" s="24"/>
      <x:c r="AK36" s="24"/>
      <x:c r="AL36" s="24"/>
      <x:c r="AM36" s="24"/>
      <x:c r="AN36" s="24"/>
    </x:row>
    <x:row r="37" ht="25" customHeight="1">
      <x:c r="A37" s="19" t="str">
        <x:v>B7_PERP_GRADIENT</x:v>
      </x:c>
      <x:c r="B37" s="19" t="n">
        <x:v>2029</x:v>
      </x:c>
      <x:c r="C37" s="19" t="str">
        <x:v>E0</x:v>
      </x:c>
      <x:c r="D37" s="20" t="n">
        <x:v>0.09716659330296916</x:v>
      </x:c>
      <x:c r="E37" s="20" t="n">
        <x:v>0.895930516785864</x:v>
      </x:c>
      <x:c r="F37" s="20" t="n">
        <x:v>0.5924350098480872</x:v>
      </x:c>
      <x:c r="G37" s="20" t="n">
        <x:v>0.12736978690215575</x:v>
      </x:c>
      <x:c r="H37" s="21" t="n">
        <x:v>0.9364033151880732</x:v>
      </x:c>
      <x:c r="I37" s="21" t="n">
        <x:v>-0.04797168481192682</x:v>
      </x:c>
      <x:c r="J37" s="21" t="n">
        <x:v>0.04797168481192682</x:v>
      </x:c>
      <x:c r="K37" s="20" t="str">
        <x:v>B7−PERP</x:v>
      </x:c>
      <x:c r="L37" s="22" t="n">
        <x:f>D28-D37</x:f>
        <x:v>-0.000434957914571682</x:v>
      </x:c>
      <x:c r="M37" s="22" t="n">
        <x:f>E28-E37</x:f>
        <x:v>-0.00000645490483275335</x:v>
      </x:c>
      <x:c r="N37" s="22" t="n">
        <x:f>F28-F37</x:f>
        <x:v>0.0010196226142745735</x:v>
      </x:c>
      <x:c r="O37" s="22" t="n">
        <x:f>G28-G37</x:f>
        <x:v>0.00003150732139378665</x:v>
      </x:c>
      <x:c r="P37" s="26" t="n">
        <x:f>J28-J37</x:f>
        <x:v>0.0015791280466872504</x:v>
      </x:c>
      <x:c r="Q37" s="20" t="str">
        <x:f>(IF(L37&lt;0,1,0)+IF(M37&gt;0,1,0)+IF(N37&gt;0,1,0)+IF(O37&lt;0,1,0)+IF(P37&lt;0,1,0))&amp;"项改善，"&amp;(IF(L37&gt;0,1,0)+IF(M37&lt;0,1,0)+IF(N37&lt;0,1,0)+IF(O37&gt;0,1,0)+IF(P37&gt;0,1,0))&amp;"项退化"</x:f>
        <x:v>2项改善，3项退化</x:v>
      </x:c>
      <x:c r="R37" s="25"/>
      <x:c r="S37" s="25"/>
      <x:c r="T37" s="25"/>
      <x:c r="U37" s="25"/>
      <x:c r="V37" s="21" t="n">
        <x:v>0.43307341474179784</x:v>
      </x:c>
      <x:c r="W37" s="21" t="n">
        <x:v>0.3488667030422793</x:v>
      </x:c>
      <x:c r="X37" s="21" t="n">
        <x:v>0.35151100213355413</x:v>
      </x:c>
      <x:c r="Y37" s="21" t="n">
        <x:v>0.4676687611601565</x:v>
      </x:c>
      <x:c r="Z37" s="19" t="str">
        <x:v>A/B/C未补算</x:v>
      </x:c>
      <x:c r="AA37" s="19" t="str">
        <x:v>959/963</x:v>
      </x:c>
      <x:c r="AB37" s="23" t="n">
        <x:v>3303090</x:v>
      </x:c>
      <x:c r="AC37" s="23" t="n">
        <x:v>407820</x:v>
      </x:c>
      <x:c r="AD37" s="19" t="str">
        <x:v>E9 LAST</x:v>
      </x:c>
      <x:c r="AE37" s="19" t="str">
        <x:v>PHYSICAL_CONTROL_PUBLIC</x:v>
      </x:c>
      <x:c r="AF37" s="19" t="str">
        <x:v>5406e20e241a3697b867ba4f44519397c2943b2381bc047d938c4eb141ce34e6</x:v>
      </x:c>
      <x:c r="AG37" s="25"/>
      <x:c r="AH37" s="25"/>
      <x:c r="AI37" s="25"/>
      <x:c r="AJ37" s="25"/>
      <x:c r="AK37" s="25"/>
      <x:c r="AL37" s="25"/>
      <x:c r="AM37" s="25"/>
      <x:c r="AN37" s="25"/>
    </x:row>
    <x:row r="40" ht="30" customHeight="1">
      <x:c r="A40" s="31" t="str">
        <x:v>模型、损失方案与读表规则</x:v>
      </x:c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</x:row>
    <x:row r="41" ht="30" customHeight="1">
      <x:c r="A41" s="35" t="str">
        <x:v>B0：B13单通道单时次；B1：B13六时次。两者同人口10455/10501，按相同seed及损失方案配对。</x:v>
      </x:c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</x:row>
    <x:row r="42" ht="30" customHeight="1">
      <x:c r="A42" s="35" t="str">
        <x:v>B2：七通道单时次t−10分钟；B3：七通道六时次。B2–B8同人口959/963；B2/B3输入维度和参数量不同。</x:v>
      </x:c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</x:row>
    <x:row r="43" ht="30" customHeight="1">
      <x:c r="A43" s="35" t="str">
        <x:v>B4：B3加13变量GFS MEE环境分支。B5：B4加海拔。B6：B4加完整静态地形六通道。B5/B6均以冻结的B4为主参考，B6−B5补充统计也完整保留。</x:v>
      </x:c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</x:row>
    <x:row r="44" ht="30" customHeight="1">
      <x:c r="A44" s="35" t="str">
        <x:v>B7：B6加8通道DOTE数值和concat残差融合。B8：相同条件信息下，单SP04 DTFM替换concat融合；不能解释为只叠加独立模块。</x:v>
      </x:c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</x:row>
    <x:row r="45" ht="30" customHeight="1">
      <x:c r="A45" s="35" t="str">
        <x:v>B7_ZERO_DOTE：数值置零但真实mask保留，128输入权重无损失梯度。PERP：仅DOTE内部梯度转90°，为单seed方向性探针。两种控制行的Δ均为真实B7−控制，方向已在表内注明。</x:v>
      </x:c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</x:row>
    <x:row r="46" ht="30" customHeight="1">
      <x:c r="A46" s="35" t="str">
        <x:v>B9：ERA5教师—学生蒸馏尚未正式训练，没有可填写的seed指标。本表不伪造未开展实验。</x:v>
      </x:c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</x:row>
    <x:row r="47" ht="30" customHeight="1">
      <x:c r="A47" s="35" t="str">
        <x:v>E0：gamma=2、lambda_q=1；E1：gamma=0，取消难样本聚焦；E2：gamma=2、lambda_q=2，分位数训练误差权重加倍。alpha均0.5。只有B0/B1实际训练过全部三种方案，其他模型仅E0。</x:v>
      </x:c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</x:row>
    <x:row r="48" ht="30" customHeight="1">
      <x:c r="A48" s="35" t="str">
        <x:v>条件Pinball评价不乘lambda_q。Brier/Pinball越低越好，AUROC/AP越高越好。q32按距98.4375%名义水平判断。偏差=实际覆盖−名义覆盖；覆盖偏差和误差差值按百分点理解，如+0.667%表示误差增加0.667个百分点。</x:v>
      </x:c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</x:row>
    <x:row r="49" ht="30" customHeight="1">
      <x:c r="A49" s="35" t="str">
        <x:v>A=p×mean(expm1(q))；B为混合中位数；C=p×expm1(mean(q))，C不是真实条件算术均值。A/B/C仅展示候选，均未科学冻结。连续误差单位mm/h，CC无量纲；Pinball使用冻结log1p尺度。</x:v>
      </x:c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</x:row>
    <x:row r="50" ht="30" customHeight="1">
      <x:c r="A50" s="35" t="str">
        <x:v>POD/FAR/CSI/HSS基于发生概率P(rain&gt;0.1)≥0.5，不是点估计五阈值分类。FAR=FP/(TP+FP)。五阈值点分类、计数、完整分层和原始配对值保留在既有明细与METRICS.csv。</x:v>
      </x:c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</x:row>
    <x:row r="51" ht="30" customHeight="1">
      <x:c r="A51" s="35" t="str">
        <x:v>19个模型配置已有A/B/C补算；B0/B1的E1/E2共8条、ZERO三条及PERP一条共12条未补算。灰底空白表示这项未计算，真实0仍显示为0；不能用旧BEST代理补E9，未新增推理。</x:v>
      </x:c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</x:row>
    <x:row r="52" ht="30" customHeight="1">
      <x:c r="A52" s="35" t="str">
        <x:v>配对说明仅计五项核心指标改善/退化的数量，不是加权总分或模型排名。B3/B2、B7/B6只有seed2029能配对；无同seed参考时不强行计算差值。</x:v>
      </x:c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</x:row>
    <x:row r="53" ht="30" customHeight="1">
      <x:c r="A53" s="35" t="str">
        <x:v>以下统计按同seed差值计算均值及样本标准差，不用“两个模型均值之差”代替不完整配对。单seed不报告标准差。所有正负结果保留，不将像元时次数量视为独立天气事件。</x:v>
      </x:c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</x:row>
    <x:row r="54" ht="30" customHeight="1">
      <x:c r="A54" s="31" t="str">
        <x:v>阶段增量的配对统计（保存记录的统计快照）</x:v>
      </x:c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</x:row>
    <x:row r="55" ht="48" customHeight="1">
      <x:c r="A55" s="35" t="str">
        <x:v>B1−B0 / E0，配对n=2：Brier -0.00259427 ± 0.00138609（改善2/2）；AUROC +0.00775270 ± 0.00090639（改善2/2）；AP +0.02103695 ± 0.00334421（改善2/2）；条件Pinball -0.00115176 ± 0.00053673（改善2/2）；q32绝对误差(pp) +0.55935596 ± 0.15250459（改善0/2）</x:v>
      </x:c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</x:row>
    <x:row r="56" ht="48" customHeight="1">
      <x:c r="A56" s="35" t="str">
        <x:v>B1−B0 / E1，配对n=2：Brier -0.00235957 ± 0.00014301（改善2/2）；AUROC +0.00920991 ± 0.00120489（改善2/2）；AP +0.02353696 ± 0.00303081（改善2/2）；条件Pinball -0.00173427 ± 0.00020365（改善2/2）；q32绝对误差(pp) +0.75363608 ± 0.24380607（改善0/2）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</x:row>
    <x:row r="57" ht="48" customHeight="1">
      <x:c r="A57" s="35" t="str">
        <x:v>B1−B0 / E2，配对n=2：Brier -0.00306426 ± 0.00102778（改善2/2）；AUROC +0.00759611 ± 0.00053333（改善2/2）；AP +0.02169500 ± 0.00019208（改善2/2）；条件Pinball -0.00184186 ± 0.00010356（改善2/2）；q32绝对误差(pp) +0.40576213 ± 0.72630745（改善1/2）</x:v>
      </x:c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</x:row>
    <x:row r="58" ht="48" customHeight="1">
      <x:c r="A58" s="35" t="str">
        <x:v>B3−B2 / E0，配对n=1：Brier +0.00094066（改善0/1）；AUROC +0.00268105（改善1/1）；AP +0.01289203（改善1/1）；条件Pinball -0.00023215（改善1/1）；q32绝对误差(pp) -0.46540140（改善1/1）</x:v>
      </x:c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</x:row>
    <x:row r="59" ht="48" customHeight="1">
      <x:c r="A59" s="35" t="str">
        <x:v>B4−B3 / E0，配对n=3：Brier -0.00199084 ± 0.00181866（改善3/3）；AUROC +0.00583884 ± 0.00088933（改善3/3）；AP +0.01847202 ± 0.00323649（改善3/3）；条件Pinball -0.00118203 ± 0.00076870（改善3/3）；q32绝对误差(pp) -0.14769588 ± 0.31799194（改善2/3）</x:v>
      </x:c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</x:row>
    <x:row r="60" ht="48" customHeight="1">
      <x:c r="A60" s="35" t="str">
        <x:v>B5−B4 / E0，配对n=1：Brier +0.00026216（改善0/1）；AUROC +0.00020854（改善1/1）；AP -0.00186532（改善0/1）；条件Pinball +0.00011666（改善0/1）；q32绝对误差(pp) +0.16281693（改善0/1）</x:v>
      </x:c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</x:row>
    <x:row r="61" ht="48" customHeight="1">
      <x:c r="A61" s="35" t="str">
        <x:v>B6−B4 / E0，配对n=1：Brier -0.00154598（改善1/1）；AUROC +0.00084262（改善1/1）；AP -0.00076247（改善0/1）；条件Pinball +0.00000577（改善0/1）；q32绝对误差(pp) +0.47545486（改善0/1）</x:v>
      </x:c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</x:row>
    <x:row r="62" ht="48" customHeight="1">
      <x:c r="A62" s="35" t="str">
        <x:v>B7−B6 / E0，配对n=1：Brier +0.00035863（改善0/1）；AUROC +0.00020304（改善1/1）；AP +0.00157882（改善1/1）；条件Pinball +0.00020184（改善0/1）；q32绝对误差(pp) -0.33519690（改善1/1）</x:v>
      </x:c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</x:row>
    <x:row r="63" ht="48" customHeight="1">
      <x:c r="A63" s="35" t="str">
        <x:v>B8−B7 / E0，配对n=3：Brier +0.00054654 ± 0.00069109（改善1/3）；AUROC +0.00029314 ± 0.00031266（改善3/3）；AP -0.00041225 ± 0.00155663（改善2/3）；条件Pinball +0.00029472 ± 0.00073664（改善1/3）；q32绝对误差(pp) +0.10535694 ± 0.61929180（改善1/3）</x:v>
      </x:c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</x:row>
    <x:row r="64" ht="48" customHeight="1">
      <x:c r="A64" s="35" t="str">
        <x:v>B7−ZERO_DOTE / E0，配对n=3：Brier -0.00089263 ± 0.00065827（改善3/3）；AUROC -0.00009503 ± 0.00083542（改善1/3）；AP +0.00091856 ± 0.00330475（改善1/3）；条件Pinball -0.00019755 ± 0.00077992（改善2/3）；q32绝对误差(pp) +0.11393916 ± 0.30671175（改善1/3）</x:v>
      </x:c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</x:row>
    <x:row r="65" ht="48" customHeight="1">
      <x:c r="A65" s="35" t="str">
        <x:v>B7−PERP / E0，配对n=1：Brier -0.00043496（改善1/1）；AUROC -0.00000645（改善0/1）；AP +0.00101962（改善1/1）；条件Pinball +0.00003151（改善0/1）；q32绝对误差(pp) +0.15791280（改善0/1）</x:v>
      </x:c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</x:row>
    <x:row r="66" ht="48" customHeight="1">
      <x:c r="A66" s="35" t="str">
        <x:v>B6−B5（补充） / E0，配对n=1：Brier -0.00180814（改善1/1）；AUROC +0.00063408（改善1/1）；AP +0.00110285（改善1/1）；条件Pinball -0.00011089（改善1/1）；q32绝对误差(pp) +0.31263793（改善0/1）</x:v>
      </x:c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</x:row>
    <x:row r="67" ht="30" customHeight="1">
      <x:c r="A67" s="35" t="str">
        <x:v>结论边界：B7/B6与PERP仅单seed；B8/B7及真实B7/ZERO有三seed，仍是同一Dev年。q32、06UTC及20–50mm/h反例保留在原分析；&gt;50mm/h仅6个像元时次，不等于6场暴雨。DOTE结果不能单独证明物理因果或跨年泛化。</x:v>
      </x:c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</x:row>
    <x:row r="68" ht="30" customHeight="1">
      <x:c r="A68" s="31" t="str">
        <x:v>来源与模型身份</x:v>
      </x:c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</x:row>
    <x:row r="69" ht="30" customHeight="1">
      <x:c r="A69" s="35" t="str">
        <x:v>原执行版本、原始指标和分层来源沿用EVIDENCE_INDEX.md及既有完成收据；B0/B1历史执行commit绑定缺口仍NOT_VERIFIED。此表只重排保存统计，没有训练、模型加载、推理或新增原始数据读取。</x:v>
      </x:c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</x:row>
    <x:row r="70" ht="30" customHeight="1">
      <x:c r="A70" s="35" t="str">
        <x:v>来源 TIER0_B0_s2026_E0；SHA256 49b33c922d5a540cbaf86c1aa0ad77b84697b0599661315fa2374915fb8e93fd；模型/评价代码 NOT_VERIFIED_HISTORICAL_EXECUTION_BINDING</x:v>
      </x:c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</x:row>
    <x:row r="71" ht="30" customHeight="1">
      <x:c r="A71" s="35" t="str">
        <x:v>来源 TIER0_B1_s2026_E0；SHA256 be4ce32457eda7f3e56680cd080a3c40e1328d6ca97e57ae3d36a1c0bf2fb147；模型/评价代码 NOT_VERIFIED_HISTORICAL_EXECUTION_BINDING</x:v>
      </x:c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</x:row>
    <x:row r="72" ht="30" customHeight="1">
      <x:c r="A72" s="35" t="str">
        <x:v>来源 TIER0_B0_s2027_E0；SHA256 bf6ff0caee0908419a77ae35d6a20f788383c3662c84fb889743606ab806112e；模型/评价代码 NOT_VERIFIED_HISTORICAL_EXECUTION_BINDING</x:v>
      </x:c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</x:row>
    <x:row r="73" ht="30" customHeight="1">
      <x:c r="A73" s="35" t="str">
        <x:v>来源 TIER0_B1_s2027_E0；SHA256 cbbaff74979b54992c0cc721c3fda33ca358a5f3b95b677ab128f5aea6929de5；模型/评价代码 NOT_VERIFIED_HISTORICAL_EXECUTION_BINDING</x:v>
      </x:c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</x:row>
    <x:row r="74" ht="30" customHeight="1">
      <x:c r="A74" s="35" t="str">
        <x:v>来源 TIER0_B0_s2026_E1；SHA256 8e80dcd6b3b303aa2f9e9703ba7a3dbb2d06620e1f81b4a9a7b9b847aa510e6a；模型/评价代码 NOT_VERIFIED_HISTORICAL_EXECUTION_BINDING</x:v>
      </x:c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</x:row>
    <x:row r="75" ht="30" customHeight="1">
      <x:c r="A75" s="35" t="str">
        <x:v>来源 TIER0_B1_s2026_E1；SHA256 f91a84391ea7d077140ce2f55c52bd3e25e5e3a017b6a6330860c6ccdf50a249；模型/评价代码 NOT_VERIFIED_HISTORICAL_EXECUTION_BINDING</x:v>
      </x:c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</x:row>
    <x:row r="76" ht="30" customHeight="1">
      <x:c r="A76" s="35" t="str">
        <x:v>来源 TIER0_B0_s2027_E1；SHA256 abe0927775fec2c6cfae598712aaa03222e13f75f4754177abc50fd76d0bbb55；模型/评价代码 NOT_VERIFIED_HISTORICAL_EXECUTION_BINDING</x:v>
      </x:c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</x:row>
    <x:row r="77" ht="30" customHeight="1">
      <x:c r="A77" s="35" t="str">
        <x:v>来源 TIER0_B1_s2027_E1；SHA256 cda9dc81bc8304f2475a3c0852ae3b4ff906e09d4552473a70c1ee790aa8fb9e；模型/评价代码 NOT_VERIFIED_HISTORICAL_EXECUTION_BINDING</x:v>
      </x:c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</x:row>
    <x:row r="78" ht="30" customHeight="1">
      <x:c r="A78" s="35" t="str">
        <x:v>来源 TIER0_B0_s2026_E2；SHA256 e6fb9d512886c5b7472dfa729c93a2810268337995dfbd1d32f33998b41c3b93；模型/评价代码 NOT_VERIFIED_HISTORICAL_EXECUTION_BINDING</x:v>
      </x:c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</x:row>
    <x:row r="79" ht="30" customHeight="1">
      <x:c r="A79" s="35" t="str">
        <x:v>来源 TIER0_B1_s2026_E2；SHA256 aaa141cf8739c2939563a9fdc59d6442c1ff5b1f054e483f43cf516b917d153a；模型/评价代码 NOT_VERIFIED_HISTORICAL_EXECUTION_BINDING</x:v>
      </x:c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</x:row>
    <x:row r="80" ht="30" customHeight="1">
      <x:c r="A80" s="35" t="str">
        <x:v>来源 TIER0_B0_s2027_E2；SHA256 cdedd7ec9dc2668582918e67ba1e67c7e2fdd240c0d9533fb725295adaa38862；模型/评价代码 NOT_VERIFIED_HISTORICAL_EXECUTION_BINDING</x:v>
      </x:c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</x:row>
    <x:row r="81" ht="30" customHeight="1">
      <x:c r="A81" s="35" t="str">
        <x:v>来源 TIER0_B1_s2027_E2；SHA256 1cd86c8e2742a1d242ab1a3bf958b419dc902dbae36d348a29ca7bd41f49fac2；模型/评价代码 NOT_VERIFIED_HISTORICAL_EXECUTION_BINDING</x:v>
      </x:c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</x:row>
    <x:row r="82" ht="30" customHeight="1">
      <x:c r="A82" s="35" t="str">
        <x:v>来源 TIER0_B2_s2029；SHA256 411332948602665317ee1d333cfed71040669ff259bdf2be4b686cb3ed521da7；模型/评价代码 a35302186b4b5d3d7ec735885a8d93762e6d3567</x:v>
      </x:c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</x:row>
    <x:row r="83" ht="30" customHeight="1">
      <x:c r="A83" s="35" t="str">
        <x:v>来源 TIER0_B3_s2029；SHA256 41567d338e39fd0ddb362f9dd1d3f3e1cce6aa017406b3c14e43b84187854beb；模型/评价代码 5b5298f41025db5b7b718fd736fc3fe6de516875_E1_3;7fa609e89bdb8b744bb0e7eebc9e7b5c3a703e35_E4_9</x:v>
      </x:c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</x:row>
    <x:row r="84" ht="30" customHeight="1">
      <x:c r="A84" s="35" t="str">
        <x:v>来源 TIER0_B4_s2029；SHA256 5663b31c1789c95f07e385afdcd29ff3e7bf791c8b87fd0f6d51553e56d035a2；模型/评价代码 7fa609e89bdb8b744bb0e7eebc9e7b5c3a703e35</x:v>
      </x:c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</x:row>
    <x:row r="85" ht="30" customHeight="1">
      <x:c r="A85" s="35" t="str">
        <x:v>来源 TIER0_B3_s2030；SHA256 2e816d8806e0ff5dd581f6b0737f13ba353be29bbc8e5e08ef2034d852ed9f27；模型/评价代码 52a8e90dcea156382d7f2c510c5891c78e610329</x:v>
      </x:c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</x:row>
    <x:row r="86" ht="30" customHeight="1">
      <x:c r="A86" s="35" t="str">
        <x:v>来源 TIER0_B4_s2030；SHA256 bc5ee14ea4f353df212e9aeaef53ec49c1e0d899142bea1632f9cd73400b23a0；模型/评价代码 943da957a3af846746c21b52d05a148bcb135064 (E1 inherited 52a8e90)</x:v>
      </x:c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</x:row>
    <x:row r="87" ht="30" customHeight="1">
      <x:c r="A87" s="35" t="str">
        <x:v>来源 TIER0_B3_s2031；SHA256 e8a07756b513c920bc83b43d83ea3c4d2f2ea37099a64f0a870778cb5b7cf5d9；模型/评价代码 943da957a3af846746c21b52d05a148bcb135064</x:v>
      </x:c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</x:row>
    <x:row r="88" ht="30" customHeight="1">
      <x:c r="A88" s="35" t="str">
        <x:v>来源 TIER0_B4_s2031；SHA256 27f4827b1537c86b647dbdce68e030de60475c43ba5981fc502fe8c80ddf3a5f；模型/评价代码 943da957a3af846746c21b52d05a148bcb135064</x:v>
      </x:c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</x:row>
    <x:row r="89" ht="30" customHeight="1">
      <x:c r="A89" s="35" t="str">
        <x:v>来源 TIER0_B5_s2029；SHA256 0b64d099e0342503c6c188fbff75ffa7aec062c56f82328ce3be4578ebcdeccd；模型/评价代码 b251fd9ea06c0c90f48d2ac0decba0454114669d</x:v>
      </x:c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</x:row>
    <x:row r="90" ht="30" customHeight="1">
      <x:c r="A90" s="35" t="str">
        <x:v>来源 TIER0_B6_s2029；SHA256 5f3e94c3c9656dac6fbb1dc59069a70d65da72e568d07c50b8f907058a9947df；模型/评价代码 b251fd9ea06c0c90f48d2ac0decba0454114669d</x:v>
      </x:c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</x:row>
    <x:row r="91" ht="30" customHeight="1">
      <x:c r="A91" s="35" t="str">
        <x:v>来源 TIER0_B7_s2029；SHA256 ff46da36310725f185c270061731e0afd31c513c797223f387890ff93a5dc060；模型/评价代码 b1f072e45fdd17b80106a774083995c350b28f04</x:v>
      </x:c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</x:row>
    <x:row r="92" ht="30" customHeight="1">
      <x:c r="A92" s="35" t="str">
        <x:v>来源 TIER0_B8_s2029；SHA256 01aa1b9dcc4d038825b80dc58df0e85d00fb3be21c68d1ed760fcb21d87a70ff；模型/评价代码 ef11531a7cdeb35b767caebdb61e0e81c6123187</x:v>
      </x:c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</x:row>
    <x:row r="93" ht="30" customHeight="1">
      <x:c r="A93" s="35" t="str">
        <x:v>来源 TIER0_B7_s2030；SHA256 cdf74ce8cc8a83137dc6a414787cfb961e6cb88fa0d5587ec21d04e799135baf；模型/评价代码 e81c6e1e0306e2a1e31103f1cc632be3c0d84d8c</x:v>
      </x:c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</x:row>
    <x:row r="94" ht="30" customHeight="1">
      <x:c r="A94" s="35" t="str">
        <x:v>来源 TIER0_B8_s2030；SHA256 c2bdb7774969371c3420129e454c276c22537fc6e0c5edc49237f0b2b8138525；模型/评价代码 e81c6e1e0306e2a1e31103f1cc632be3c0d84d8c</x:v>
      </x:c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</x:row>
    <x:row r="95" ht="30" customHeight="1">
      <x:c r="A95" s="35" t="str">
        <x:v>来源 TIER0_B7_s2031；SHA256 1ea366686e54fda32db867deab8d6719dc8e9a86ca354a8e0bc2c5c923305a50；模型/评价代码 e81c6e1e0306e2a1e31103f1cc632be3c0d84d8c</x:v>
      </x:c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</x:row>
    <x:row r="96" ht="30" customHeight="1">
      <x:c r="A96" s="35" t="str">
        <x:v>来源 TIER0_B8_s2031；SHA256 65fa0ed65ada14485758ad3e8f42cbf6099a6ed9772651e0ff0c0f6751c53976；模型/评价代码 e81c6e1e0306e2a1e31103f1cc632be3c0d84d8c</x:v>
      </x:c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</x:row>
    <x:row r="97" ht="30" customHeight="1">
      <x:c r="A97" s="35" t="str">
        <x:v>来源 TIER0_B7_ZERO_DOTE_s2029；SHA256 7bb65e76226523350b81bb857bfd3d50b704aaf3cf05a5b180915a62bd44e6fa；模型/评价代码 0c91ff0f36d5cce3f4516d38663482650f61b03a</x:v>
      </x:c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</x:row>
    <x:row r="98" ht="30" customHeight="1">
      <x:c r="A98" s="35" t="str">
        <x:v>来源 TIER0_ARCHIVED_ROWS；SHA256 b3747c6edabd1f2af603ebfd5dffee08cf58c21db9b22bb40054de7da488a799；模型/评价代码 见既有证据索引</x:v>
      </x:c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</x:row>
    <x:row r="99" ht="30" customHeight="1">
      <x:c r="A99" s="35" t="str">
        <x:v>来源 TIER0_ARCHIVED_GROUPS；SHA256 fc5da8bab8b09c423e30d27c2bd648d299c75f725d2777c282da93ee0ec11a3f；模型/评价代码 见既有证据索引</x:v>
      </x:c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</x:row>
    <x:row r="100" ht="30" customHeight="1">
      <x:c r="A100" s="35" t="str">
        <x:v>来源 TIER0_ARCHIVED_PAIRS；SHA256 efc9a47ea8586a08ebbbf8d945cf0136fab3c4735ceafed9ee0f83d178dffab0；模型/评价代码 见既有证据索引</x:v>
      </x:c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</x:row>
    <x:row r="101" ht="30" customHeight="1">
      <x:c r="A101" s="35" t="str">
        <x:v>来源 TIER0_HISTORICAL_PROXY；SHA256 966ae1de7ca2cd46225574c0f6384fc57dc6c2cabf2e0a9751c8ac11a2d4a854；模型/评价代码 见既有证据索引</x:v>
      </x:c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</x:row>
    <x:row r="102" ht="30" customHeight="1">
      <x:c r="A102" s="35" t="str">
        <x:v>来源 TIER0_ARCHIVED_VALIDATION；SHA256 a4dc4e23a43803e5dc1c62859c273d2e541d067c4f2b160c4a12f30139e3b050；模型/评价代码 见既有证据索引</x:v>
      </x:c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</x:row>
    <x:row r="103" ht="30" customHeight="1">
      <x:c r="A103" s="35" t="str">
        <x:v>来源 TIER0_ARCHIVED_PROVENANCE；SHA256 4cdf20339f9e175100473ede7d2c76936e4c09ad0612c2be19fccff5a50b82ba；模型/评价代码 见既有证据索引</x:v>
      </x:c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</x:row>
    <x:row r="104" ht="30" customHeight="1">
      <x:c r="A104" s="35" t="str">
        <x:v>来源 UNIFIED_METRICS_SAVED；SHA256 0bb37393ae563f2cb83d26ad07a9698726f4e8c917efc904b53ff5261804b949；模型/评价代码 见既有证据索引</x:v>
      </x:c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</x:row>
    <x:row r="105" ht="30" customHeight="1">
      <x:c r="A105" s="35" t="str">
        <x:v>来源 ZERO_THREE_SEED_PUBLIC；SHA256 188f0305ec0faa7bd0077cc950dd0d5ec50e104bb54978bcdf8a2878ce2d5adf；模型/评价代码 见既有证据索引</x:v>
      </x:c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</x:row>
    <x:row r="106" ht="30" customHeight="1">
      <x:c r="A106" s="35" t="str">
        <x:v>来源 PHYSICAL_CONTROL_PUBLIC；SHA256 05fd5a0a2f107d1d3928069265801b9afbcf6e5d436447c3333cd7e2a4295391；模型/评价代码 7d4970d726aba1316f27fc7eea25817db6eca305</x:v>
      </x:c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</x:row>
    <x:row r="107" ht="30" customHeight="1">
      <x:c r="A107" s="35" t="str">
        <x:v>来源 TIER1_B0_s2026_E0；SHA256 1a51061929b4b79620615233b3a7411e129cb1b5fd5d765d5465b8faab7dda8e；模型/评价代码 db3cb10fa1f62c1a8dfb330a9db60eccd5efaea3</x:v>
      </x:c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</x:row>
    <x:row r="108" ht="30" customHeight="1">
      <x:c r="A108" s="35" t="str">
        <x:v>来源 TIER1_B1_s2026_E0；SHA256 dcd87a2d9c9ed0a78bf0e89f2061f8e16883e69b33fc078fe4ad9b4e0bbb6495；模型/评价代码 db3cb10fa1f62c1a8dfb330a9db60eccd5efaea3</x:v>
      </x:c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</x:row>
    <x:row r="109" ht="30" customHeight="1">
      <x:c r="A109" s="35" t="str">
        <x:v>来源 TIER1_B0_s2027_E0；SHA256 f3b576849b69ba268023d978235fe0fc7bf98dbd642e9f975aa5102424fe2198；模型/评价代码 8e8fd2545e41b2f4834366c02bd89bd37cd9891d</x:v>
      </x:c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</x:row>
    <x:row r="110" ht="30" customHeight="1">
      <x:c r="A110" s="35" t="str">
        <x:v>来源 TIER1_B1_s2027_E0；SHA256 3b75040603b06730b10338bd29a5ef19eba7f561479f00db051150760ba78849；模型/评价代码 8e8fd2545e41b2f4834366c02bd89bd37cd9891d</x:v>
      </x:c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</x:row>
    <x:row r="111" ht="30" customHeight="1">
      <x:c r="A111" s="35" t="str">
        <x:v>来源 TIER1_B2_s2029；SHA256 5d3720775c1f71d138c5f829399b7cf4a54a935a135412b842ac93e42bf7b486；模型/评价代码 a35302186b4b5d3d7ec735885a8d93762e6d3567</x:v>
      </x:c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</x:row>
    <x:row r="112" ht="30" customHeight="1">
      <x:c r="A112" s="35" t="str">
        <x:v>来源 TIER1_B3_s2029；SHA256 bf8e29e55db68634014ad7a67c41a3ea4f4464c355df44675348b4597434acbb；模型/评价代码 7fa609e89bdb8b744bb0e7eebc9e7b5c3a703e35 (E4-E9); 5b5298f41025db5b7b718fd736fc3fe6de516875 (E1-E3)</x:v>
      </x:c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</x:row>
    <x:row r="113" ht="30" customHeight="1">
      <x:c r="A113" s="35" t="str">
        <x:v>来源 TIER1_B4_s2029；SHA256 97f7bf855607b4faeb6f25b624854cf41fe9f37135286e6d2d2633b376c56205；模型/评价代码 7fa609e89bdb8b744bb0e7eebc9e7b5c3a703e35 (E4-E9); 5b5298f41025db5b7b718fd736fc3fe6de516875 (E1-E3)</x:v>
      </x:c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</x:row>
    <x:row r="114" ht="30" customHeight="1">
      <x:c r="A114" s="35" t="str">
        <x:v>来源 TIER1_B3_s2030；SHA256 46fe7c6ffc8090b6c74850a3f4b37475a606c4f146e22e7efbe4557860fe7e2c；模型/评价代码 52a8e90dcea156382d7f2c510c5891c78e610329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</x:row>
    <x:row r="115" ht="30" customHeight="1">
      <x:c r="A115" s="35" t="str">
        <x:v>来源 TIER1_B4_s2030；SHA256 456a2354767ed2285fd053f4ad6ffb5b4bc18e3ca2a67490b094c849984e4a29；模型/评价代码 943da957a3af846746c21b52d05a148bcb135064</x:v>
      </x:c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</x:row>
    <x:row r="116" ht="30" customHeight="1">
      <x:c r="A116" s="35" t="str">
        <x:v>来源 TIER1_B3_s2031；SHA256 3a0843041aff6d2900f2e69b341ee8872f52d6200d04885d085a7967bf3467a4；模型/评价代码 943da957a3af846746c21b52d05a148bcb135064</x:v>
      </x:c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</x:row>
    <x:row r="117" ht="30" customHeight="1">
      <x:c r="A117" s="35" t="str">
        <x:v>来源 TIER1_B4_s2031；SHA256 6b44298aabe27b443bba9041c09e9375e0e3c5caba4e163adf8faa7f80836cb9；模型/评价代码 943da957a3af846746c21b52d05a148bcb135064</x:v>
      </x:c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</x:row>
    <x:row r="118" ht="30" customHeight="1">
      <x:c r="A118" s="35" t="str">
        <x:v>来源 TIER1_B5_s2029；SHA256 0b23d550a2ac7a14365e1ca6909cda6893a4dcd13904a2a7d6a4cc9177fc5d07；模型/评价代码 b251fd9ea06c0c90f48d2ac0decba0454114669d</x:v>
      </x:c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</x:row>
    <x:row r="119" ht="30" customHeight="1">
      <x:c r="A119" s="35" t="str">
        <x:v>来源 TIER1_B6_s2029；SHA256 d375d87b970aaea30928a65bfc713cb158305624c76b79fa2d7eb3d8cc6fb853；模型/评价代码 b251fd9ea06c0c90f48d2ac0decba0454114669d</x:v>
      </x:c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</x:row>
    <x:row r="120" ht="30" customHeight="1">
      <x:c r="A120" s="35" t="str">
        <x:v>来源 TIER1_B7_s2029；SHA256 e2cae84bf9661158de4e2626290a4077a01e1aaebb43829e1556d6282e53e008；模型/评价代码 b1f072e45fdd17b80106a774083995c350b28f04</x:v>
      </x:c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</x:row>
    <x:row r="121" ht="30" customHeight="1">
      <x:c r="A121" s="35" t="str">
        <x:v>来源 TIER1_B8_s2029；SHA256 f7ab24b7f82ab27d89bb18f3f54545414734085c2422139f1a6f05e3d916932d；模型/评价代码 ef11531a7cdeb35b767caebdb61e0e81c6123187</x:v>
      </x:c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</x:row>
    <x:row r="122" ht="30" customHeight="1">
      <x:c r="A122" s="35" t="str">
        <x:v>来源 TIER1_B7_s2030；SHA256 6e467023fdc3a98376788b3ca46ec32dfb6b99bf706d3ac57e365b5355ec04c1；模型/评价代码 e81c6e1e0306e2a1e31103f1cc632be3c0d84d8c</x:v>
      </x:c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</x:row>
    <x:row r="123" ht="30" customHeight="1">
      <x:c r="A123" s="35" t="str">
        <x:v>来源 TIER1_B8_s2030；SHA256 9fc269669a9ec3ac0949ea93c448ab4a085558d5b57b101ed1c2ffc087a93153；模型/评价代码 e81c6e1e0306e2a1e31103f1cc632be3c0d84d8c</x:v>
      </x:c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</x:row>
    <x:row r="124" ht="30" customHeight="1">
      <x:c r="A124" s="35" t="str">
        <x:v>来源 TIER1_B7_s2031；SHA256 1a112ff02825d599247c9925265339d6b26a0bc07a8a97b2782534c973546cc6；模型/评价代码 e81c6e1e0306e2a1e31103f1cc632be3c0d84d8c</x:v>
      </x:c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</x:row>
    <x:row r="125" ht="30" customHeight="1">
      <x:c r="A125" s="35" t="str">
        <x:v>来源 TIER1_B8_s2031；SHA256 7fd97e27fe27b4b63bda9207f52aa521ca35e74fa3c3e3f47268f4990697993d；模型/评价代码 e81c6e1e0306e2a1e31103f1cc632be3c0d84d8c</x:v>
      </x:c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</x:row>
  </x:sheetData>
  <x:mergeCells>
    <x:mergeCell ref="A2:Q2"/>
    <x:mergeCell ref="A3:Q3"/>
    <x:mergeCell ref="A4:Q4"/>
    <x:mergeCell ref="A5:C5"/>
    <x:mergeCell ref="D5:J5"/>
    <x:mergeCell ref="K5:Q5"/>
    <x:mergeCell ref="R5:U5"/>
    <x:mergeCell ref="V5:Y5"/>
    <x:mergeCell ref="Z5:AF5"/>
    <x:mergeCell ref="AG5:AJ5"/>
    <x:mergeCell ref="AK5:AN5"/>
    <x:mergeCell ref="A40:Q40"/>
    <x:mergeCell ref="A41:Q41"/>
    <x:mergeCell ref="A42:Q42"/>
    <x:mergeCell ref="A43:Q43"/>
    <x:mergeCell ref="A44:Q44"/>
    <x:mergeCell ref="A45:Q45"/>
    <x:mergeCell ref="A46:Q46"/>
    <x:mergeCell ref="A47:Q47"/>
    <x:mergeCell ref="A48:Q48"/>
    <x:mergeCell ref="A49:Q49"/>
    <x:mergeCell ref="A50:Q50"/>
    <x:mergeCell ref="A51:Q51"/>
    <x:mergeCell ref="A52:Q52"/>
    <x:mergeCell ref="A53:Q53"/>
    <x:mergeCell ref="A54:Q54"/>
    <x:mergeCell ref="A55:Q55"/>
    <x:mergeCell ref="A56:Q56"/>
    <x:mergeCell ref="A57:Q57"/>
    <x:mergeCell ref="A58:Q58"/>
    <x:mergeCell ref="A59:Q59"/>
    <x:mergeCell ref="A60:Q60"/>
    <x:mergeCell ref="A61:Q61"/>
    <x:mergeCell ref="A62:Q62"/>
    <x:mergeCell ref="A63:Q63"/>
    <x:mergeCell ref="A64:Q64"/>
    <x:mergeCell ref="A65:Q65"/>
    <x:mergeCell ref="A66:Q66"/>
    <x:mergeCell ref="A67:Q67"/>
    <x:mergeCell ref="A68:Q68"/>
    <x:mergeCell ref="A69:Q69"/>
    <x:mergeCell ref="A70:Q70"/>
    <x:mergeCell ref="A71:Q71"/>
    <x:mergeCell ref="A72:Q72"/>
    <x:mergeCell ref="A73:Q73"/>
    <x:mergeCell ref="A74:Q74"/>
    <x:mergeCell ref="A75:Q75"/>
    <x:mergeCell ref="A76:Q76"/>
    <x:mergeCell ref="A77:Q77"/>
    <x:mergeCell ref="A78:Q78"/>
    <x:mergeCell ref="A79:Q79"/>
    <x:mergeCell ref="A80:Q80"/>
    <x:mergeCell ref="A81:Q81"/>
    <x:mergeCell ref="A82:Q82"/>
    <x:mergeCell ref="A83:Q83"/>
    <x:mergeCell ref="A84:Q84"/>
    <x:mergeCell ref="A85:Q85"/>
    <x:mergeCell ref="A86:Q86"/>
    <x:mergeCell ref="A87:Q87"/>
    <x:mergeCell ref="A88:Q88"/>
    <x:mergeCell ref="A89:Q89"/>
    <x:mergeCell ref="A90:Q90"/>
    <x:mergeCell ref="A91:Q91"/>
    <x:mergeCell ref="A92:Q92"/>
    <x:mergeCell ref="A93:Q93"/>
    <x:mergeCell ref="A94:Q94"/>
    <x:mergeCell ref="A95:Q95"/>
    <x:mergeCell ref="A96:Q96"/>
    <x:mergeCell ref="A97:Q97"/>
    <x:mergeCell ref="A98:Q98"/>
    <x:mergeCell ref="A99:Q99"/>
    <x:mergeCell ref="A100:Q100"/>
    <x:mergeCell ref="A101:Q101"/>
    <x:mergeCell ref="A102:Q102"/>
    <x:mergeCell ref="A103:Q103"/>
    <x:mergeCell ref="A104:Q104"/>
    <x:mergeCell ref="A105:Q105"/>
    <x:mergeCell ref="A106:Q106"/>
    <x:mergeCell ref="A107:Q107"/>
    <x:mergeCell ref="A108:Q108"/>
    <x:mergeCell ref="A109:Q109"/>
    <x:mergeCell ref="A110:Q110"/>
    <x:mergeCell ref="A111:Q111"/>
    <x:mergeCell ref="A112:Q112"/>
    <x:mergeCell ref="A113:Q113"/>
    <x:mergeCell ref="A114:Q114"/>
    <x:mergeCell ref="A115:Q115"/>
    <x:mergeCell ref="A116:Q116"/>
    <x:mergeCell ref="A117:Q117"/>
    <x:mergeCell ref="A118:Q118"/>
    <x:mergeCell ref="A119:Q119"/>
    <x:mergeCell ref="A120:Q120"/>
    <x:mergeCell ref="A121:Q121"/>
    <x:mergeCell ref="A122:Q122"/>
    <x:mergeCell ref="A123:Q123"/>
    <x:mergeCell ref="A124:Q124"/>
    <x:mergeCell ref="A125:Q125"/>
  </x:mergeCells>
  <x:conditionalFormatting sqref="L7:L37">
    <x:cfRule type="expression" dxfId="0" priority="1">
      <x:formula>AND(ISNUMBER(L7),L7&lt;0)</x:formula>
    </x:cfRule>
    <x:cfRule type="expression" dxfId="1" priority="2">
      <x:formula>AND(ISNUMBER(L7),L7&gt;0)</x:formula>
    </x:cfRule>
  </x:conditionalFormatting>
  <x:conditionalFormatting sqref="M7:M37">
    <x:cfRule type="expression" dxfId="2" priority="3">
      <x:formula>AND(ISNUMBER(M7),M7&gt;0)</x:formula>
    </x:cfRule>
    <x:cfRule type="expression" dxfId="3" priority="4">
      <x:formula>AND(ISNUMBER(M7),M7&lt;0)</x:formula>
    </x:cfRule>
  </x:conditionalFormatting>
  <x:conditionalFormatting sqref="N7:N37">
    <x:cfRule type="expression" dxfId="4" priority="5">
      <x:formula>AND(ISNUMBER(N7),N7&gt;0)</x:formula>
    </x:cfRule>
    <x:cfRule type="expression" dxfId="5" priority="6">
      <x:formula>AND(ISNUMBER(N7),N7&lt;0)</x:formula>
    </x:cfRule>
  </x:conditionalFormatting>
  <x:conditionalFormatting sqref="O7:O37">
    <x:cfRule type="expression" dxfId="6" priority="7">
      <x:formula>AND(ISNUMBER(O7),O7&lt;0)</x:formula>
    </x:cfRule>
    <x:cfRule type="expression" dxfId="7" priority="8">
      <x:formula>AND(ISNUMBER(O7),O7&gt;0)</x:formula>
    </x:cfRule>
  </x:conditionalFormatting>
  <x:conditionalFormatting sqref="P7:P37">
    <x:cfRule type="expression" dxfId="8" priority="9">
      <x:formula>AND(ISNUMBER(P7),P7&lt;0)</x:formula>
    </x:cfRule>
    <x:cfRule type="expression" dxfId="9" priority="10">
      <x:formula>AND(ISNUMBER(P7),P7&gt;0)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081dc2ff694d5f"/>
  </x:tableParts>
</x:worksheet>
</file>